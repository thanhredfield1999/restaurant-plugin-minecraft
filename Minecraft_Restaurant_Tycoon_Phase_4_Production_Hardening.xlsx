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4 - Production" sheetId="1" state="visible" r:id="rId1"/>
    <sheet name="Dashboard" sheetId="2" state="visible" r:id="rId2"/>
  </sheets>
  <definedNames>
    <definedName name="_xlnm._FilterDatabase" localSheetId="0" hidden="1">'Phase 4 - Production'!$A$6:$M$50</definedName>
    <definedName name="_xlnm.Print_Titles" localSheetId="0">'Phase 4 - Production'!$1:$6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334E68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C00000"/>
      <sz val="9"/>
    </font>
    <font>
      <name val="Arial"/>
      <color rgb="001F1F1F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72A3A"/>
      </patternFill>
    </fill>
    <fill>
      <patternFill patternType="solid">
        <fgColor rgb="00EAF3F8"/>
      </patternFill>
    </fill>
    <fill>
      <patternFill patternType="solid">
        <fgColor rgb="001F5A7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4" fillId="5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12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8" fillId="4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9" fillId="7" borderId="0" pivotButton="0" quotePrefix="0" xfId="0"/>
    <xf numFmtId="0" fontId="10" fillId="7" borderId="0" pivotButton="0" quotePrefix="0" xfId="0"/>
    <xf numFmtId="164" fontId="10" fillId="7" borderId="0" pivotButton="0" quotePrefix="0" xfId="0"/>
    <xf numFmtId="0" fontId="11" fillId="5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1" customWidth="1" min="3" max="3"/>
    <col width="54" customWidth="1" min="4" max="4"/>
    <col width="38" customWidth="1" min="5" max="5"/>
    <col width="35" customWidth="1" min="6" max="6"/>
    <col width="12" customWidth="1" min="7" max="7"/>
    <col width="13" customWidth="1" min="8" max="8"/>
    <col width="22" customWidth="1" min="9" max="9"/>
    <col width="18" customWidth="1" min="10" max="10"/>
    <col width="12" customWidth="1" min="11" max="11"/>
    <col width="72" customWidth="1" min="12" max="12"/>
    <col width="34" customWidth="1" min="13" max="13"/>
  </cols>
  <sheetData>
    <row r="1">
      <c r="A1" s="1" t="inlineStr">
        <is>
          <t>MINECRAFT RESTAURANT TYCOON | PHASE 4 - PRODUCTION HARDENING</t>
        </is>
      </c>
    </row>
    <row r="2">
      <c r="A2" s="2" t="inlineStr">
        <is>
          <t>Mục tiêu: chứng minh khả năng phát hành, phục hồi và vận hành production. Chỉ sửa ô [ĐIỀN], owner, trạng thái, tiến độ và evidence.</t>
        </is>
      </c>
    </row>
    <row r="3">
      <c r="A3" s="3" t="inlineStr">
        <is>
          <t>Hướng dẫn</t>
        </is>
      </c>
      <c r="B3" s="4" t="inlineStr">
        <is>
          <t>Ô vàng là quyết định cần điền. Dòng đỏ là release blocker P0; không launch khi chưa Hoàn thành.</t>
        </is>
      </c>
    </row>
    <row r="4">
      <c r="A4" s="3" t="inlineStr">
        <is>
          <t>Ví dụ</t>
        </is>
      </c>
      <c r="B4" s="5" t="inlineStr">
        <is>
          <t>[ĐIỀN: RPO 15 phút] | Owner: Platform | Trạng thái: Đang kiểm thử | Tiến độ: 75 | Evidence: link drill</t>
        </is>
      </c>
    </row>
    <row r="5">
      <c r="A5" s="3" t="inlineStr">
        <is>
          <t>Nguồn</t>
        </is>
      </c>
      <c r="B5" s="4" t="inlineStr">
        <is>
          <t>RESTAURANT_TYCOON_PLAN.md §17 Phase 4, §18 Acceptance Gates và §23 Binding Production Requirements.</t>
        </is>
      </c>
    </row>
    <row r="6">
      <c r="A6" s="6" t="inlineStr">
        <is>
          <t>ID</t>
        </is>
      </c>
      <c r="B6" s="6" t="inlineStr">
        <is>
          <t>Nhóm công việc</t>
        </is>
      </c>
      <c r="C6" s="6" t="inlineStr">
        <is>
          <t>Tính năng/Hạng mục</t>
        </is>
      </c>
      <c r="D6" s="6" t="inlineStr">
        <is>
          <t>Mô tả cần điền</t>
        </is>
      </c>
      <c r="E6" s="6" t="inlineStr">
        <is>
          <t>Player Value</t>
        </is>
      </c>
      <c r="F6" s="6" t="inlineStr">
        <is>
          <t>Phụ thuộc</t>
        </is>
      </c>
      <c r="G6" s="6" t="inlineStr">
        <is>
          <t>Độ ưu tiên</t>
        </is>
      </c>
      <c r="H6" s="6" t="inlineStr">
        <is>
          <t>Độ phức tạp</t>
        </is>
      </c>
      <c r="I6" s="6" t="inlineStr">
        <is>
          <t>Người phụ trách</t>
        </is>
      </c>
      <c r="J6" s="6" t="inlineStr">
        <is>
          <t>Trạng thái</t>
        </is>
      </c>
      <c r="K6" s="6" t="inlineStr">
        <is>
          <t>Tiến độ %</t>
        </is>
      </c>
      <c r="L6" s="6" t="inlineStr">
        <is>
          <t>Acceptance Criteria</t>
        </is>
      </c>
      <c r="M6" s="6" t="inlineStr">
        <is>
          <t>Ghi chú/Evidence</t>
        </is>
      </c>
    </row>
    <row r="7" ht="76" customHeight="1">
      <c r="A7" s="7" t="inlineStr">
        <is>
          <t>P4-01-01</t>
        </is>
      </c>
      <c r="B7" s="8" t="inlineStr">
        <is>
          <t>1. Launch Scope &amp; Governance</t>
        </is>
      </c>
      <c r="C7" s="8" t="inlineStr">
        <is>
          <t>Production launch scope</t>
        </is>
      </c>
      <c r="D7" s="8" t="inlineStr">
        <is>
          <t>Chốt feature/content/platform/locale được launch, non-goal, feature flag và owner; điền launch date [ĐIỀN].</t>
        </is>
      </c>
      <c r="E7" s="8" t="inlineStr">
        <is>
          <t>Biết rõ trải nghiệm nào được hỗ trợ chính thức.</t>
        </is>
      </c>
      <c r="F7" s="8" t="inlineStr">
        <is>
          <t>Phase 3 exit report</t>
        </is>
      </c>
      <c r="G7" s="7" t="inlineStr">
        <is>
          <t>P0</t>
        </is>
      </c>
      <c r="H7" s="9" t="inlineStr">
        <is>
          <t>M</t>
        </is>
      </c>
      <c r="I7" s="8" t="inlineStr">
        <is>
          <t>[ĐIỀN: tên/role]</t>
        </is>
      </c>
      <c r="J7" s="9" t="inlineStr">
        <is>
          <t>Chưa làm</t>
        </is>
      </c>
      <c r="K7" s="9" t="n">
        <v>0</v>
      </c>
      <c r="L7" s="8" t="inlineStr">
        <is>
          <t>Manifest scope được Product, Engineering và Operations ký; mọi mục có owner/trạng thái; artifact không chứa feature ngoài allowlist.</t>
        </is>
      </c>
      <c r="M7" s="10" t="inlineStr">
        <is>
          <t>RELEASE BLOCKER | [ĐIỀN: link evidence sau khi pass]</t>
        </is>
      </c>
    </row>
    <row r="8" ht="76" customHeight="1">
      <c r="A8" s="7" t="inlineStr">
        <is>
          <t>P4-01-02</t>
        </is>
      </c>
      <c r="B8" s="8" t="inlineStr">
        <is>
          <t>1. Launch Scope &amp; Governance</t>
        </is>
      </c>
      <c r="C8" s="8" t="inlineStr">
        <is>
          <t>Supported platform matrix</t>
        </is>
      </c>
      <c r="D8" s="8" t="inlineStr">
        <is>
          <t>Chốt Minecraft/Paper/Java/client version, Việt/Anh, resource-pack policy và quyết định Geyser/Bedrock [ĐIỀN].</t>
        </is>
      </c>
      <c r="E8" s="8" t="inlineStr">
        <is>
          <t>Người chơi nhận thông tin tương thích rõ ràng.</t>
        </is>
      </c>
      <c r="F8" s="8" t="inlineStr">
        <is>
          <t>Production launch scope</t>
        </is>
      </c>
      <c r="G8" s="7" t="inlineStr">
        <is>
          <t>P0</t>
        </is>
      </c>
      <c r="H8" s="9" t="inlineStr">
        <is>
          <t>M</t>
        </is>
      </c>
      <c r="I8" s="8" t="inlineStr">
        <is>
          <t>[ĐIỀN: tên/role]</t>
        </is>
      </c>
      <c r="J8" s="9" t="inlineStr">
        <is>
          <t>Chưa làm</t>
        </is>
      </c>
      <c r="K8" s="9" t="n">
        <v>0</v>
      </c>
      <c r="L8" s="8" t="inlineStr">
        <is>
          <t>100% tổ hợp được hỗ trợ pass login, pack, core loop, reconnect; ngoài matrix nhận thông báo unsupported rõ ràng.</t>
        </is>
      </c>
      <c r="M8" s="10" t="inlineStr">
        <is>
          <t>RELEASE BLOCKER | [ĐIỀN: link evidence sau khi pass]</t>
        </is>
      </c>
    </row>
    <row r="9" ht="76" customHeight="1">
      <c r="A9" s="7" t="inlineStr">
        <is>
          <t>P4-01-03</t>
        </is>
      </c>
      <c r="B9" s="8" t="inlineStr">
        <is>
          <t>1. Launch Scope &amp; Governance</t>
        </is>
      </c>
      <c r="C9" s="8" t="inlineStr">
        <is>
          <t>Go/no-go authority</t>
        </is>
      </c>
      <c r="D9" s="8" t="inlineStr">
        <is>
          <t>Chỉ định release manager, approver Product/Engineering/QA/Operations và quyền dừng launch.</t>
        </is>
      </c>
      <c r="E9" s="8" t="inlineStr">
        <is>
          <t>Không phát hành build có rủi ro chưa được chấp thuận.</t>
        </is>
      </c>
      <c r="F9" s="8" t="inlineStr">
        <is>
          <t>Production launch scope</t>
        </is>
      </c>
      <c r="G9" s="7" t="inlineStr">
        <is>
          <t>P0</t>
        </is>
      </c>
      <c r="H9" s="9" t="inlineStr">
        <is>
          <t>S</t>
        </is>
      </c>
      <c r="I9" s="8" t="inlineStr">
        <is>
          <t>[ĐIỀN: tên/role]</t>
        </is>
      </c>
      <c r="J9" s="9" t="inlineStr">
        <is>
          <t>Chưa làm</t>
        </is>
      </c>
      <c r="K9" s="9" t="n">
        <v>0</v>
      </c>
      <c r="L9" s="8" t="inlineStr">
        <is>
          <t>RACI được ký; tabletop một tình huống no-go cho đúng quyết định, escalation và audit trong SLA [ĐIỀN].</t>
        </is>
      </c>
      <c r="M9" s="10" t="inlineStr">
        <is>
          <t>RELEASE BLOCKER | [ĐIỀN: link evidence sau khi pass]</t>
        </is>
      </c>
    </row>
    <row r="10" ht="76" customHeight="1">
      <c r="A10" s="11" t="inlineStr">
        <is>
          <t>P4-01-04</t>
        </is>
      </c>
      <c r="B10" s="12" t="inlineStr">
        <is>
          <t>1. Launch Scope &amp; Governance</t>
        </is>
      </c>
      <c r="C10" s="12" t="inlineStr">
        <is>
          <t>Change freeze</t>
        </is>
      </c>
      <c r="D10" s="12" t="inlineStr">
        <is>
          <t>Định nghĩa mốc content/code/config freeze, exception process và emergency change.</t>
        </is>
      </c>
      <c r="E10" s="12" t="inlineStr">
        <is>
          <t>Giảm regression sát ngày mở cửa.</t>
        </is>
      </c>
      <c r="F10" s="12" t="inlineStr">
        <is>
          <t>Go/no-go authority</t>
        </is>
      </c>
      <c r="G10" s="11" t="inlineStr">
        <is>
          <t>P1</t>
        </is>
      </c>
      <c r="H10" s="11" t="inlineStr">
        <is>
          <t>S</t>
        </is>
      </c>
      <c r="I10" s="13" t="inlineStr">
        <is>
          <t>[ĐIỀN: tên/role]</t>
        </is>
      </c>
      <c r="J10" s="11" t="inlineStr">
        <is>
          <t>Chưa làm</t>
        </is>
      </c>
      <c r="K10" s="11" t="n">
        <v>0</v>
      </c>
      <c r="L10" s="12" t="inlineStr">
        <is>
          <t>Mọi thay đổi sau freeze có ticket, risk, approver và regression evidence; unauthorized production drift = 0.</t>
        </is>
      </c>
      <c r="M10" s="13" t="inlineStr">
        <is>
          <t>[ĐIỀN: quyết định/link evidence]</t>
        </is>
      </c>
    </row>
    <row r="11" ht="76" customHeight="1">
      <c r="A11" s="7" t="inlineStr">
        <is>
          <t>P4-02-01</t>
        </is>
      </c>
      <c r="B11" s="8" t="inlineStr">
        <is>
          <t>2. Compliance &amp; Trust</t>
        </is>
      </c>
      <c r="C11" s="8" t="inlineStr">
        <is>
          <t>Minecraft EULA/Usage Guidelines review</t>
        </is>
      </c>
      <c r="D11" s="8" t="inlineStr">
        <is>
          <t>Review lại guideline tại thời điểm launch, disclaimer, operator identity/contact và cách quảng bá.</t>
        </is>
      </c>
      <c r="E11" s="8" t="inlineStr">
        <is>
          <t>Server minh bạch và giảm nguy cơ bị gián đoạn.</t>
        </is>
      </c>
      <c r="F11" s="8" t="inlineStr">
        <is>
          <t>Production launch scope</t>
        </is>
      </c>
      <c r="G11" s="7" t="inlineStr">
        <is>
          <t>P0</t>
        </is>
      </c>
      <c r="H11" s="9" t="inlineStr">
        <is>
          <t>L</t>
        </is>
      </c>
      <c r="I11" s="8" t="inlineStr">
        <is>
          <t>[ĐIỀN: tên/role]</t>
        </is>
      </c>
      <c r="J11" s="9" t="inlineStr">
        <is>
          <t>Chưa làm</t>
        </is>
      </c>
      <c r="K11" s="9" t="n">
        <v>0</v>
      </c>
      <c r="L11" s="8" t="inlineStr">
        <is>
          <t>Checklist theo URL/phiên bản/ngày review có approver; 0 vi phạm mở; disclaimer và operator contact xuất hiện đúng nơi.</t>
        </is>
      </c>
      <c r="M11" s="10" t="inlineStr">
        <is>
          <t>RELEASE BLOCKER | [ĐIỀN: link evidence sau khi pass]</t>
        </is>
      </c>
    </row>
    <row r="12" ht="76" customHeight="1">
      <c r="A12" s="7" t="inlineStr">
        <is>
          <t>P4-02-02</t>
        </is>
      </c>
      <c r="B12" s="8" t="inlineStr">
        <is>
          <t>2. Compliance &amp; Trust</t>
        </is>
      </c>
      <c r="C12" s="8" t="inlineStr">
        <is>
          <t>Branding and IP review</t>
        </is>
      </c>
      <c r="D12" s="8" t="inlineStr">
        <is>
          <t>Review tên, logo, screenshot, restaurant theme, UGC và quy trình IP takedown.</t>
        </is>
      </c>
      <c r="E12" s="8" t="inlineStr">
        <is>
          <t>Nội dung đáng tin cậy và có nguồn gốc hợp lệ.</t>
        </is>
      </c>
      <c r="F12" s="8" t="inlineStr">
        <is>
          <t>Asset provenance manifest</t>
        </is>
      </c>
      <c r="G12" s="7" t="inlineStr">
        <is>
          <t>P0</t>
        </is>
      </c>
      <c r="H12" s="9" t="inlineStr">
        <is>
          <t>M</t>
        </is>
      </c>
      <c r="I12" s="8" t="inlineStr">
        <is>
          <t>[ĐIỀN: tên/role]</t>
        </is>
      </c>
      <c r="J12" s="9" t="inlineStr">
        <is>
          <t>Chưa làm</t>
        </is>
      </c>
      <c r="K12" s="9" t="n">
        <v>0</v>
      </c>
      <c r="L12" s="8" t="inlineStr">
        <is>
          <t>100% asset/brand claim có owner/license hoặc bị loại; takedown flow tabletop pass và có SLA [ĐIỀN].</t>
        </is>
      </c>
      <c r="M12" s="10" t="inlineStr">
        <is>
          <t>RELEASE BLOCKER | [ĐIỀN: link evidence sau khi pass]</t>
        </is>
      </c>
    </row>
    <row r="13" ht="76" customHeight="1">
      <c r="A13" s="7" t="inlineStr">
        <is>
          <t>P4-02-03</t>
        </is>
      </c>
      <c r="B13" s="8" t="inlineStr">
        <is>
          <t>2. Compliance &amp; Trust</t>
        </is>
      </c>
      <c r="C13" s="8" t="inlineStr">
        <is>
          <t>Asset provenance manifest</t>
        </is>
      </c>
      <c r="D13" s="8" t="inlineStr">
        <is>
          <t>Lập manifest source, creator, license, version/hash cho model, texture, sound, font, schematic và dependency.</t>
        </is>
      </c>
      <c r="E13" s="8" t="inlineStr">
        <is>
          <t>Tránh asset biến mất hoặc tranh chấp sau launch.</t>
        </is>
      </c>
      <c r="F13" s="8" t="inlineStr">
        <is>
          <t>Resource-pack release artifact</t>
        </is>
      </c>
      <c r="G13" s="7" t="inlineStr">
        <is>
          <t>P0</t>
        </is>
      </c>
      <c r="H13" s="9" t="inlineStr">
        <is>
          <t>L</t>
        </is>
      </c>
      <c r="I13" s="8" t="inlineStr">
        <is>
          <t>[ĐIỀN: tên/role]</t>
        </is>
      </c>
      <c r="J13" s="9" t="inlineStr">
        <is>
          <t>Chưa làm</t>
        </is>
      </c>
      <c r="K13" s="9" t="n">
        <v>0</v>
      </c>
      <c r="L13" s="8" t="inlineStr">
        <is>
          <t>100% artifact production map tới provenance/license; unknown/incompatible license = 0; manifest hash gắn release.</t>
        </is>
      </c>
      <c r="M13" s="10" t="inlineStr">
        <is>
          <t>RELEASE BLOCKER | [ĐIỀN: link evidence sau khi pass]</t>
        </is>
      </c>
    </row>
    <row r="14" ht="76" customHeight="1">
      <c r="A14" s="7" t="inlineStr">
        <is>
          <t>P4-02-04</t>
        </is>
      </c>
      <c r="B14" s="8" t="inlineStr">
        <is>
          <t>2. Compliance &amp; Trust</t>
        </is>
      </c>
      <c r="C14" s="8" t="inlineStr">
        <is>
          <t>Privacy and retention review</t>
        </is>
      </c>
      <c r="D14" s="8" t="inlineStr">
        <is>
          <t>Lập data inventory, purpose, lawful/consent basis nếu cần, access, TTL, export/delete và log redaction [ĐIỀN].</t>
        </is>
      </c>
      <c r="E14" s="8" t="inlineStr">
        <is>
          <t>Dữ liệu người chơi được thu tối thiểu và bảo vệ.</t>
        </is>
      </c>
      <c r="F14" s="8" t="inlineStr">
        <is>
          <t>Phase 3 analytics; moderation data</t>
        </is>
      </c>
      <c r="G14" s="7" t="inlineStr">
        <is>
          <t>P0</t>
        </is>
      </c>
      <c r="H14" s="9" t="inlineStr">
        <is>
          <t>L</t>
        </is>
      </c>
      <c r="I14" s="8" t="inlineStr">
        <is>
          <t>[ĐIỀN: tên/role]</t>
        </is>
      </c>
      <c r="J14" s="9" t="inlineStr">
        <is>
          <t>Chưa làm</t>
        </is>
      </c>
      <c r="K14" s="9" t="n">
        <v>0</v>
      </c>
      <c r="L14" s="8" t="inlineStr">
        <is>
          <t>Mỗi field có purpose/owner/TTL; access, deletion và expiry tests pass; secret/PII fixture không xuất hiện trong log/analytics.</t>
        </is>
      </c>
      <c r="M14" s="10" t="inlineStr">
        <is>
          <t>RELEASE BLOCKER | [ĐIỀN: link evidence sau khi pass]</t>
        </is>
      </c>
    </row>
    <row r="15" ht="76" customHeight="1">
      <c r="A15" s="7" t="inlineStr">
        <is>
          <t>P4-02-05</t>
        </is>
      </c>
      <c r="B15" s="8" t="inlineStr">
        <is>
          <t>2. Compliance &amp; Trust</t>
        </is>
      </c>
      <c r="C15" s="8" t="inlineStr">
        <is>
          <t>Moderation and child-safety readiness</t>
        </is>
      </c>
      <c r="D15" s="8" t="inlineStr">
        <is>
          <t>Chốt report, mute/block/ban, appeal, restaurant name/sign/chat review và escalation nghiêm trọng.</t>
        </is>
      </c>
      <c r="E15" s="8" t="inlineStr">
        <is>
          <t>Môi trường chơi an toàn và có hỗ trợ.</t>
        </is>
      </c>
      <c r="F15" s="8" t="inlineStr">
        <is>
          <t>Phase 3 moderation tools</t>
        </is>
      </c>
      <c r="G15" s="7" t="inlineStr">
        <is>
          <t>P0</t>
        </is>
      </c>
      <c r="H15" s="9" t="inlineStr">
        <is>
          <t>L</t>
        </is>
      </c>
      <c r="I15" s="8" t="inlineStr">
        <is>
          <t>[ĐIỀN: tên/role]</t>
        </is>
      </c>
      <c r="J15" s="9" t="inlineStr">
        <is>
          <t>Chưa làm</t>
        </is>
      </c>
      <c r="K15" s="9" t="n">
        <v>0</v>
      </c>
      <c r="L15" s="8" t="inlineStr">
        <is>
          <t>Report-to-resolution tabletop pass; permission least-privilege; audit đầy đủ; on-call moderation roster đã xác nhận.</t>
        </is>
      </c>
      <c r="M15" s="10" t="inlineStr">
        <is>
          <t>RELEASE BLOCKER | [ĐIỀN: link evidence sau khi pass]</t>
        </is>
      </c>
    </row>
    <row r="16" ht="76" customHeight="1">
      <c r="A16" s="7" t="inlineStr">
        <is>
          <t>P4-02-06</t>
        </is>
      </c>
      <c r="B16" s="8" t="inlineStr">
        <is>
          <t>2. Compliance &amp; Trust</t>
        </is>
      </c>
      <c r="C16" s="8" t="inlineStr">
        <is>
          <t>Monetization launch gate</t>
        </is>
      </c>
      <c r="D16" s="8" t="inlineStr">
        <is>
          <t>Quyết định [ĐIỀN: không launch/launch]; nếu launch, review price disclosure, history, refund/support, all-ages, no paid random và no competitive advantage.</t>
        </is>
      </c>
      <c r="E16" s="8" t="inlineStr">
        <is>
          <t>Mua hàng minh bạch và không pay-to-win.</t>
        </is>
      </c>
      <c r="F16" s="8" t="inlineStr">
        <is>
          <t>Policy review; payment design nếu có</t>
        </is>
      </c>
      <c r="G16" s="7" t="inlineStr">
        <is>
          <t>P0</t>
        </is>
      </c>
      <c r="H16" s="9" t="inlineStr">
        <is>
          <t>XL</t>
        </is>
      </c>
      <c r="I16" s="8" t="inlineStr">
        <is>
          <t>[ĐIỀN: tên/role]</t>
        </is>
      </c>
      <c r="J16" s="9" t="inlineStr">
        <is>
          <t>Chưa làm</t>
        </is>
      </c>
      <c r="K16" s="9" t="n">
        <v>0</v>
      </c>
      <c r="L16" s="8" t="inlineStr">
        <is>
          <t>Nếu tắt: mọi store/payment path inaccessible. Nếu bật: legal/policy/security/refund/reconciliation tests pass và 0 đường mua tăng competitive power.</t>
        </is>
      </c>
      <c r="M16" s="10" t="inlineStr">
        <is>
          <t>RELEASE BLOCKER | [ĐIỀN: link evidence sau khi pass]</t>
        </is>
      </c>
    </row>
    <row r="17" ht="76" customHeight="1">
      <c r="A17" s="7" t="inlineStr">
        <is>
          <t>P4-03-01</t>
        </is>
      </c>
      <c r="B17" s="8" t="inlineStr">
        <is>
          <t>3. Release Engineering</t>
        </is>
      </c>
      <c r="C17" s="8" t="inlineStr">
        <is>
          <t>Immutable release artifact</t>
        </is>
      </c>
      <c r="D17" s="8" t="inlineStr">
        <is>
          <t>Build plugin/config/content/migration/resource pack thành artifact bất biến, có version, checksum và commit.</t>
        </is>
      </c>
      <c r="E17" s="8" t="inlineStr">
        <is>
          <t>Mọi server nhận đúng bản đã kiểm thử.</t>
        </is>
      </c>
      <c r="F17" s="8" t="inlineStr">
        <is>
          <t>CI pipeline; scope manifest</t>
        </is>
      </c>
      <c r="G17" s="7" t="inlineStr">
        <is>
          <t>P0</t>
        </is>
      </c>
      <c r="H17" s="9" t="inlineStr">
        <is>
          <t>L</t>
        </is>
      </c>
      <c r="I17" s="8" t="inlineStr">
        <is>
          <t>[ĐIỀN: tên/role]</t>
        </is>
      </c>
      <c r="J17" s="9" t="inlineStr">
        <is>
          <t>Chưa làm</t>
        </is>
      </c>
      <c r="K17" s="9" t="n">
        <v>0</v>
      </c>
      <c r="L17" s="8" t="inlineStr">
        <is>
          <t>Exact artifact qua dev→staging→canary không rebuild; checksum khớp 100%; SBOM/provenance và signer [ĐIỀN] được lưu.</t>
        </is>
      </c>
      <c r="M17" s="10" t="inlineStr">
        <is>
          <t>RELEASE BLOCKER | [ĐIỀN: link evidence sau khi pass]</t>
        </is>
      </c>
    </row>
    <row r="18" ht="76" customHeight="1">
      <c r="A18" s="7" t="inlineStr">
        <is>
          <t>P4-03-02</t>
        </is>
      </c>
      <c r="B18" s="8" t="inlineStr">
        <is>
          <t>3. Release Engineering</t>
        </is>
      </c>
      <c r="C18" s="8" t="inlineStr">
        <is>
          <t>Dependency and SBOM review</t>
        </is>
      </c>
      <c r="D18" s="8" t="inlineStr">
        <is>
          <t>Pin phiên bản, lập SBOM, license/vulnerability review và policy update dependency.</t>
        </is>
      </c>
      <c r="E18" s="8" t="inlineStr">
        <is>
          <t>Giảm lỗi và rủi ro chuỗi cung ứng.</t>
        </is>
      </c>
      <c r="F18" s="8" t="inlineStr">
        <is>
          <t>Immutable release artifact</t>
        </is>
      </c>
      <c r="G18" s="7" t="inlineStr">
        <is>
          <t>P0</t>
        </is>
      </c>
      <c r="H18" s="9" t="inlineStr">
        <is>
          <t>L</t>
        </is>
      </c>
      <c r="I18" s="8" t="inlineStr">
        <is>
          <t>[ĐIỀN: tên/role]</t>
        </is>
      </c>
      <c r="J18" s="9" t="inlineStr">
        <is>
          <t>Chưa làm</t>
        </is>
      </c>
      <c r="K18" s="9" t="n">
        <v>0</v>
      </c>
      <c r="L18" s="8" t="inlineStr">
        <is>
          <t>100% production dependency được pin và có license; 0 vulnerability vượt policy [ĐIỀN] không có waiver/owner/deadline.</t>
        </is>
      </c>
      <c r="M18" s="10" t="inlineStr">
        <is>
          <t>RELEASE BLOCKER | [ĐIỀN: link evidence sau khi pass]</t>
        </is>
      </c>
    </row>
    <row r="19" ht="76" customHeight="1">
      <c r="A19" s="7" t="inlineStr">
        <is>
          <t>P4-03-03</t>
        </is>
      </c>
      <c r="B19" s="8" t="inlineStr">
        <is>
          <t>3. Release Engineering</t>
        </is>
      </c>
      <c r="C19" s="8" t="inlineStr">
        <is>
          <t>Migration preflight</t>
        </is>
      </c>
      <c r="D19" s="8" t="inlineStr">
        <is>
          <t>Kiểm tra schema version, compatibility, backup restore point, duration/lock và forward-fix/rollback decision.</t>
        </is>
      </c>
      <c r="E19" s="8" t="inlineStr">
        <is>
          <t>Update không làm hỏng tiến trình.</t>
        </is>
      </c>
      <c r="F19" s="8" t="inlineStr">
        <is>
          <t>Release artifact; DB copy</t>
        </is>
      </c>
      <c r="G19" s="7" t="inlineStr">
        <is>
          <t>P0</t>
        </is>
      </c>
      <c r="H19" s="9" t="inlineStr">
        <is>
          <t>XL</t>
        </is>
      </c>
      <c r="I19" s="8" t="inlineStr">
        <is>
          <t>[ĐIỀN: tên/role]</t>
        </is>
      </c>
      <c r="J19" s="9" t="inlineStr">
        <is>
          <t>Chưa làm</t>
        </is>
      </c>
      <c r="K19" s="9" t="n">
        <v>0</v>
      </c>
      <c r="L19" s="8" t="inlineStr">
        <is>
          <t>Fresh install và production-like upgrade pass; row count/checksum/invariant khớp; migration failure dừng deploy an toàn.</t>
        </is>
      </c>
      <c r="M19" s="10" t="inlineStr">
        <is>
          <t>RELEASE BLOCKER | [ĐIỀN: link evidence sau khi pass]</t>
        </is>
      </c>
    </row>
    <row r="20" ht="76" customHeight="1">
      <c r="A20" s="7" t="inlineStr">
        <is>
          <t>P4-03-04</t>
        </is>
      </c>
      <c r="B20" s="8" t="inlineStr">
        <is>
          <t>3. Release Engineering</t>
        </is>
      </c>
      <c r="C20" s="8" t="inlineStr">
        <is>
          <t>Deployment automation</t>
        </is>
      </c>
      <c r="D20" s="8" t="inlineStr">
        <is>
          <t>Tự động hóa precheck, maintenance/drain, migration, deploy, health, smoke, promote và abort.</t>
        </is>
      </c>
      <c r="E20" s="8" t="inlineStr">
        <is>
          <t>Giảm downtime và sai thao tác thủ công.</t>
        </is>
      </c>
      <c r="F20" s="8" t="inlineStr">
        <is>
          <t>Immutable artifact; migration preflight</t>
        </is>
      </c>
      <c r="G20" s="7" t="inlineStr">
        <is>
          <t>P0</t>
        </is>
      </c>
      <c r="H20" s="9" t="inlineStr">
        <is>
          <t>XL</t>
        </is>
      </c>
      <c r="I20" s="8" t="inlineStr">
        <is>
          <t>[ĐIỀN: tên/role]</t>
        </is>
      </c>
      <c r="J20" s="9" t="inlineStr">
        <is>
          <t>Chưa làm</t>
        </is>
      </c>
      <c r="K20" s="9" t="n">
        <v>0</v>
      </c>
      <c r="L20" s="8" t="inlineStr">
        <is>
          <t>Staging dry-run hoàn tất không bước tay ngoài approval; lỗi inject tại mỗi stage dừng/rollback đúng và tạo audit.</t>
        </is>
      </c>
      <c r="M20" s="10" t="inlineStr">
        <is>
          <t>RELEASE BLOCKER | [ĐIỀN: link evidence sau khi pass]</t>
        </is>
      </c>
    </row>
    <row r="21" ht="76" customHeight="1">
      <c r="A21" s="7" t="inlineStr">
        <is>
          <t>P4-03-05</t>
        </is>
      </c>
      <c r="B21" s="8" t="inlineStr">
        <is>
          <t>3. Release Engineering</t>
        </is>
      </c>
      <c r="C21" s="8" t="inlineStr">
        <is>
          <t>Configuration and secret management</t>
        </is>
      </c>
      <c r="D21" s="8" t="inlineStr">
        <is>
          <t>Tách config/secret, validate schema, least privilege, rotation và chống log secret.</t>
        </is>
      </c>
      <c r="E21" s="8" t="inlineStr">
        <is>
          <t>Bảo vệ tài khoản và giữ cấu hình nhất quán.</t>
        </is>
      </c>
      <c r="F21" s="8" t="inlineStr">
        <is>
          <t>Deployment automation</t>
        </is>
      </c>
      <c r="G21" s="7" t="inlineStr">
        <is>
          <t>P0</t>
        </is>
      </c>
      <c r="H21" s="9" t="inlineStr">
        <is>
          <t>L</t>
        </is>
      </c>
      <c r="I21" s="8" t="inlineStr">
        <is>
          <t>[ĐIỀN: tên/role]</t>
        </is>
      </c>
      <c r="J21" s="9" t="inlineStr">
        <is>
          <t>Chưa làm</t>
        </is>
      </c>
      <c r="K21" s="9" t="n">
        <v>0</v>
      </c>
      <c r="L21" s="8" t="inlineStr">
        <is>
          <t>Secret không nằm repo/artifact/log; invalid config fail-fast; rotation rehearsal không mất giao dịch và access cũ bị revoke.</t>
        </is>
      </c>
      <c r="M21" s="10" t="inlineStr">
        <is>
          <t>RELEASE BLOCKER | [ĐIỀN: link evidence sau khi pass]</t>
        </is>
      </c>
    </row>
    <row r="22" ht="76" customHeight="1">
      <c r="A22" s="7" t="inlineStr">
        <is>
          <t>P4-03-06</t>
        </is>
      </c>
      <c r="B22" s="8" t="inlineStr">
        <is>
          <t>3. Release Engineering</t>
        </is>
      </c>
      <c r="C22" s="8" t="inlineStr">
        <is>
          <t>Canary rollout</t>
        </is>
      </c>
      <c r="D22" s="8" t="inlineStr">
        <is>
          <t>Chọn scope [ĐIỀN], thời gian quan sát, metric gate và promote/rollback authority.</t>
        </is>
      </c>
      <c r="E22" s="8" t="inlineStr">
        <is>
          <t>Hạn chế người chơi bị ảnh hưởng bởi bản lỗi.</t>
        </is>
      </c>
      <c r="F22" s="8" t="inlineStr">
        <is>
          <t>Deployment; observability; rollback</t>
        </is>
      </c>
      <c r="G22" s="7" t="inlineStr">
        <is>
          <t>P0</t>
        </is>
      </c>
      <c r="H22" s="9" t="inlineStr">
        <is>
          <t>L</t>
        </is>
      </c>
      <c r="I22" s="8" t="inlineStr">
        <is>
          <t>[ĐIỀN: tên/role]</t>
        </is>
      </c>
      <c r="J22" s="9" t="inlineStr">
        <is>
          <t>Chưa làm</t>
        </is>
      </c>
      <c r="K22" s="9" t="n">
        <v>0</v>
      </c>
      <c r="L22" s="8" t="inlineStr">
        <is>
          <t>Canary nhận đúng artifact/config/pack; synthetic gate pass; breach ngưỡng [ĐIỀN] tự dừng promote và rollback trong RTO.</t>
        </is>
      </c>
      <c r="M22" s="10" t="inlineStr">
        <is>
          <t>RELEASE BLOCKER | [ĐIỀN: link evidence sau khi pass]</t>
        </is>
      </c>
    </row>
    <row r="23" ht="76" customHeight="1">
      <c r="A23" s="7" t="inlineStr">
        <is>
          <t>P4-03-07</t>
        </is>
      </c>
      <c r="B23" s="8" t="inlineStr">
        <is>
          <t>3. Release Engineering</t>
        </is>
      </c>
      <c r="C23" s="8" t="inlineStr">
        <is>
          <t>Production rollback automation</t>
        </is>
      </c>
      <c r="D23" s="8" t="inlineStr">
        <is>
          <t>Rollback plugin/config/content/pack và chọn rollback/forward-fix DB; giữ correlation/audit.</t>
        </is>
      </c>
      <c r="E23" s="8" t="inlineStr">
        <is>
          <t>Sự cố release được đảo nhanh, có kiểm soát.</t>
        </is>
      </c>
      <c r="F23" s="8" t="inlineStr">
        <is>
          <t>Canary; backup; reconciliation</t>
        </is>
      </c>
      <c r="G23" s="7" t="inlineStr">
        <is>
          <t>P0</t>
        </is>
      </c>
      <c r="H23" s="9" t="inlineStr">
        <is>
          <t>XL</t>
        </is>
      </c>
      <c r="I23" s="8" t="inlineStr">
        <is>
          <t>[ĐIỀN: tên/role]</t>
        </is>
      </c>
      <c r="J23" s="9" t="inlineStr">
        <is>
          <t>Chưa làm</t>
        </is>
      </c>
      <c r="K23" s="9" t="n">
        <v>0</v>
      </c>
      <c r="L23" s="8" t="inlineStr">
        <is>
          <t>Diễn tập N→N-1 trên production-like đạt RTO [ĐIỀN]; smoke, schema compatibility và reconciliation pass trước reopen.</t>
        </is>
      </c>
      <c r="M23" s="10" t="inlineStr">
        <is>
          <t>RELEASE BLOCKER | [ĐIỀN: link evidence sau khi pass]</t>
        </is>
      </c>
    </row>
    <row r="24" ht="76" customHeight="1">
      <c r="A24" s="7" t="inlineStr">
        <is>
          <t>P4-03-08</t>
        </is>
      </c>
      <c r="B24" s="8" t="inlineStr">
        <is>
          <t>3. Release Engineering</t>
        </is>
      </c>
      <c r="C24" s="8" t="inlineStr">
        <is>
          <t>Release smoke suite</t>
        </is>
      </c>
      <c r="D24" s="8" t="inlineStr">
        <is>
          <t>Tự động kiểm tra health, login, claim, order, purchase, save/reconnect, admin và pack trên exact artifact.</t>
        </is>
      </c>
      <c r="E24" s="8" t="inlineStr">
        <is>
          <t>Ngăn mở server khi core loop đã hỏng.</t>
        </is>
      </c>
      <c r="F24" s="8" t="inlineStr">
        <is>
          <t>Deployment automation</t>
        </is>
      </c>
      <c r="G24" s="7" t="inlineStr">
        <is>
          <t>P0</t>
        </is>
      </c>
      <c r="H24" s="9" t="inlineStr">
        <is>
          <t>L</t>
        </is>
      </c>
      <c r="I24" s="8" t="inlineStr">
        <is>
          <t>[ĐIỀN: tên/role]</t>
        </is>
      </c>
      <c r="J24" s="9" t="inlineStr">
        <is>
          <t>Chưa làm</t>
        </is>
      </c>
      <c r="K24" s="9" t="n">
        <v>0</v>
      </c>
      <c r="L24" s="8" t="inlineStr">
        <is>
          <t>100% P0 smoke pass trên exact checksum; fail bất kỳ case nào chặn promote; report gắn build/config/schema/pack.</t>
        </is>
      </c>
      <c r="M24" s="10" t="inlineStr">
        <is>
          <t>RELEASE BLOCKER | [ĐIỀN: link evidence sau khi pass]</t>
        </is>
      </c>
    </row>
    <row r="25" ht="76" customHeight="1">
      <c r="A25" s="7" t="inlineStr">
        <is>
          <t>P4-04-01</t>
        </is>
      </c>
      <c r="B25" s="8" t="inlineStr">
        <is>
          <t>4. Observability &amp; Incident Response</t>
        </is>
      </c>
      <c r="C25" s="8" t="inlineStr">
        <is>
          <t>Production health dashboard</t>
        </is>
      </c>
      <c r="D25" s="8" t="inlineStr">
        <is>
          <t>Dashboard MSPT/TPS, CPU, heap/GC, entity/chunk/task, DB pool/latency, error và concurrency.</t>
        </is>
      </c>
      <c r="E25" s="8" t="inlineStr">
        <is>
          <t>Lag và lỗi được phát hiện trước khi lan rộng.</t>
        </is>
      </c>
      <c r="F25" s="8" t="inlineStr">
        <is>
          <t>Production telemetry</t>
        </is>
      </c>
      <c r="G25" s="7" t="inlineStr">
        <is>
          <t>P0</t>
        </is>
      </c>
      <c r="H25" s="9" t="inlineStr">
        <is>
          <t>L</t>
        </is>
      </c>
      <c r="I25" s="8" t="inlineStr">
        <is>
          <t>[ĐIỀN: tên/role]</t>
        </is>
      </c>
      <c r="J25" s="9" t="inlineStr">
        <is>
          <t>Chưa làm</t>
        </is>
      </c>
      <c r="K25" s="9" t="n">
        <v>0</v>
      </c>
      <c r="L25" s="8" t="inlineStr">
        <is>
          <t>Synthetic load/failure hiện đúng panel trong delay [ĐIỀN]; p50/p95/p99/max có build tag; critical No Data tạo cảnh báo.</t>
        </is>
      </c>
      <c r="M25" s="10" t="inlineStr">
        <is>
          <t>RELEASE BLOCKER | [ĐIỀN: link evidence sau khi pass]</t>
        </is>
      </c>
    </row>
    <row r="26" ht="76" customHeight="1">
      <c r="A26" s="7" t="inlineStr">
        <is>
          <t>P4-04-02</t>
        </is>
      </c>
      <c r="B26" s="8" t="inlineStr">
        <is>
          <t>4. Observability &amp; Incident Response</t>
        </is>
      </c>
      <c r="C26" s="8" t="inlineStr">
        <is>
          <t>Economy and data-integrity dashboard</t>
        </is>
      </c>
      <c r="D26" s="8" t="inlineStr">
        <is>
          <t>Theo dõi earn/spend, balance-ledger delta, duplicate rejection, pending operation, reconcile mismatch và correction.</t>
        </is>
      </c>
      <c r="E26" s="8" t="inlineStr">
        <is>
          <t>Bảo vệ tiền và tiến trình người chơi.</t>
        </is>
      </c>
      <c r="F26" s="8" t="inlineStr">
        <is>
          <t>Ledger; reconciliation metrics</t>
        </is>
      </c>
      <c r="G26" s="7" t="inlineStr">
        <is>
          <t>P0</t>
        </is>
      </c>
      <c r="H26" s="9" t="inlineStr">
        <is>
          <t>L</t>
        </is>
      </c>
      <c r="I26" s="8" t="inlineStr">
        <is>
          <t>[ĐIỀN: tên/role]</t>
        </is>
      </c>
      <c r="J26" s="9" t="inlineStr">
        <is>
          <t>Chưa làm</t>
        </is>
      </c>
      <c r="K26" s="9" t="n">
        <v>0</v>
      </c>
      <c r="L26" s="8" t="inlineStr">
        <is>
          <t>Fixture duplicate/mismatch tạo metric/alert; aggregate khớp ledger; unknown reason = 0; dashboard drill-down bằng correlation ID.</t>
        </is>
      </c>
      <c r="M26" s="10" t="inlineStr">
        <is>
          <t>RELEASE BLOCKER | [ĐIỀN: link evidence sau khi pass]</t>
        </is>
      </c>
    </row>
    <row r="27" ht="76" customHeight="1">
      <c r="A27" s="7" t="inlineStr">
        <is>
          <t>P4-04-03</t>
        </is>
      </c>
      <c r="B27" s="8" t="inlineStr">
        <is>
          <t>4. Observability &amp; Incident Response</t>
        </is>
      </c>
      <c r="C27" s="8" t="inlineStr">
        <is>
          <t>SLO and alert policy</t>
        </is>
      </c>
      <c r="D27" s="8" t="inlineStr">
        <is>
          <t>Chốt SLI/SLO [ĐIỀN], burn-rate/threshold, severity, page owner và chống alert noise.</t>
        </is>
      </c>
      <c r="E27" s="8" t="inlineStr">
        <is>
          <t>Sự cố ảnh hưởng thật được xử lý đúng mức.</t>
        </is>
      </c>
      <c r="F27" s="8" t="inlineStr">
        <is>
          <t>Dashboards; capacity evidence</t>
        </is>
      </c>
      <c r="G27" s="7" t="inlineStr">
        <is>
          <t>P0</t>
        </is>
      </c>
      <c r="H27" s="9" t="inlineStr">
        <is>
          <t>L</t>
        </is>
      </c>
      <c r="I27" s="8" t="inlineStr">
        <is>
          <t>[ĐIỀN: tên/role]</t>
        </is>
      </c>
      <c r="J27" s="9" t="inlineStr">
        <is>
          <t>Chưa làm</t>
        </is>
      </c>
      <c r="K27" s="9" t="n">
        <v>0</v>
      </c>
      <c r="L27" s="8" t="inlineStr">
        <is>
          <t>Mỗi alert test fire/resolution pass; page đến đúng owner trong SLA; dưới ngưỡng không page; runbook link hợp lệ.</t>
        </is>
      </c>
      <c r="M27" s="10" t="inlineStr">
        <is>
          <t>RELEASE BLOCKER | [ĐIỀN: link evidence sau khi pass]</t>
        </is>
      </c>
    </row>
    <row r="28" ht="76" customHeight="1">
      <c r="A28" s="7" t="inlineStr">
        <is>
          <t>P4-04-04</t>
        </is>
      </c>
      <c r="B28" s="8" t="inlineStr">
        <is>
          <t>4. Observability &amp; Incident Response</t>
        </is>
      </c>
      <c r="C28" s="8" t="inlineStr">
        <is>
          <t>Structured logs and correlation</t>
        </is>
      </c>
      <c r="D28" s="8" t="inlineStr">
        <is>
          <t>Chuẩn hóa build, server, player pseudonymous ID, restaurant/run/operation/correlation ID và scrub policy.</t>
        </is>
      </c>
      <c r="E28" s="8" t="inlineStr">
        <is>
          <t>Support tìm nguyên nhân nhanh mà không lộ dữ liệu.</t>
        </is>
      </c>
      <c r="F28" s="8" t="inlineStr">
        <is>
          <t>Privacy review</t>
        </is>
      </c>
      <c r="G28" s="7" t="inlineStr">
        <is>
          <t>P0</t>
        </is>
      </c>
      <c r="H28" s="9" t="inlineStr">
        <is>
          <t>M</t>
        </is>
      </c>
      <c r="I28" s="8" t="inlineStr">
        <is>
          <t>[ĐIỀN: tên/role]</t>
        </is>
      </c>
      <c r="J28" s="9" t="inlineStr">
        <is>
          <t>Chưa làm</t>
        </is>
      </c>
      <c r="K28" s="9" t="n">
        <v>0</v>
      </c>
      <c r="L28" s="8" t="inlineStr">
        <is>
          <t>Scripted transaction truy vết end-to-end; 100% critical event có correlation; secret/PII fixtures bị scrub.</t>
        </is>
      </c>
      <c r="M28" s="10" t="inlineStr">
        <is>
          <t>RELEASE BLOCKER | [ĐIỀN: link evidence sau khi pass]</t>
        </is>
      </c>
    </row>
    <row r="29" ht="76" customHeight="1">
      <c r="A29" s="7" t="inlineStr">
        <is>
          <t>P4-04-05</t>
        </is>
      </c>
      <c r="B29" s="8" t="inlineStr">
        <is>
          <t>4. Observability &amp; Incident Response</t>
        </is>
      </c>
      <c r="C29" s="8" t="inlineStr">
        <is>
          <t>Incident severity and on-call</t>
        </is>
      </c>
      <c r="D29" s="8" t="inlineStr">
        <is>
          <t>Chốt SEV matrix, primary/secondary, escalation, break-glass và response target [ĐIỀN].</t>
        </is>
      </c>
      <c r="E29" s="8" t="inlineStr">
        <is>
          <t>Người chơi nhận hỗ trợ nhất quán khi có sự cố.</t>
        </is>
      </c>
      <c r="F29" s="8" t="inlineStr">
        <is>
          <t>SLO; moderation roster</t>
        </is>
      </c>
      <c r="G29" s="7" t="inlineStr">
        <is>
          <t>P0</t>
        </is>
      </c>
      <c r="H29" s="9" t="inlineStr">
        <is>
          <t>M</t>
        </is>
      </c>
      <c r="I29" s="8" t="inlineStr">
        <is>
          <t>[ĐIỀN: tên/role]</t>
        </is>
      </c>
      <c r="J29" s="9" t="inlineStr">
        <is>
          <t>Chưa làm</t>
        </is>
      </c>
      <c r="K29" s="9" t="n">
        <v>0</v>
      </c>
      <c r="L29" s="8" t="inlineStr">
        <is>
          <t>Roster được xác nhận; paging drill primary-failover pass; break-glass được audit/revoke; scenario phân loại nhất quán.</t>
        </is>
      </c>
      <c r="M29" s="10" t="inlineStr">
        <is>
          <t>RELEASE BLOCKER | [ĐIỀN: link evidence sau khi pass]</t>
        </is>
      </c>
    </row>
    <row r="30" ht="76" customHeight="1">
      <c r="A30" s="7" t="inlineStr">
        <is>
          <t>P4-04-06</t>
        </is>
      </c>
      <c r="B30" s="8" t="inlineStr">
        <is>
          <t>4. Observability &amp; Incident Response</t>
        </is>
      </c>
      <c r="C30" s="8" t="inlineStr">
        <is>
          <t>Incident runbooks</t>
        </is>
      </c>
      <c r="D30" s="8" t="inlineStr">
        <is>
          <t>Runbook database down, lag, duplication, stuck plot, pack/CDN, deploy, rollback và data loss.</t>
        </is>
      </c>
      <c r="E30" s="8" t="inlineStr">
        <is>
          <t>Giảm thời gian gián đoạn và thao tác nguy hiểm.</t>
        </is>
      </c>
      <c r="F30" s="8" t="inlineStr">
        <is>
          <t>Alerts; admin tools</t>
        </is>
      </c>
      <c r="G30" s="7" t="inlineStr">
        <is>
          <t>P0</t>
        </is>
      </c>
      <c r="H30" s="9" t="inlineStr">
        <is>
          <t>L</t>
        </is>
      </c>
      <c r="I30" s="8" t="inlineStr">
        <is>
          <t>[ĐIỀN: tên/role]</t>
        </is>
      </c>
      <c r="J30" s="9" t="inlineStr">
        <is>
          <t>Chưa làm</t>
        </is>
      </c>
      <c r="K30" s="9" t="n">
        <v>0</v>
      </c>
      <c r="L30" s="8" t="inlineStr">
        <is>
          <t>Mỗi P0/P1 alert có runbook owner; tabletop từ detect→contain→recover→communicate pass, không sửa DB ad-hoc.</t>
        </is>
      </c>
      <c r="M30" s="10" t="inlineStr">
        <is>
          <t>RELEASE BLOCKER | [ĐIỀN: link evidence sau khi pass]</t>
        </is>
      </c>
    </row>
    <row r="31" ht="76" customHeight="1">
      <c r="A31" s="14" t="inlineStr">
        <is>
          <t>P4-04-07</t>
        </is>
      </c>
      <c r="B31" s="15" t="inlineStr">
        <is>
          <t>4. Observability &amp; Incident Response</t>
        </is>
      </c>
      <c r="C31" s="15" t="inlineStr">
        <is>
          <t>Status communication</t>
        </is>
      </c>
      <c r="D31" s="15" t="inlineStr">
        <is>
          <t>Chuẩn bị maintenance, investigating, identified, monitoring, resolved và correction templates.</t>
        </is>
      </c>
      <c r="E31" s="15" t="inlineStr">
        <is>
          <t>Người chơi biết tác động và thời điểm cập nhật.</t>
        </is>
      </c>
      <c r="F31" s="15" t="inlineStr">
        <is>
          <t>Incident runbooks</t>
        </is>
      </c>
      <c r="G31" s="14" t="inlineStr">
        <is>
          <t>P1</t>
        </is>
      </c>
      <c r="H31" s="14" t="inlineStr">
        <is>
          <t>S</t>
        </is>
      </c>
      <c r="I31" s="13" t="inlineStr">
        <is>
          <t>[ĐIỀN: tên/role]</t>
        </is>
      </c>
      <c r="J31" s="14" t="inlineStr">
        <is>
          <t>Chưa làm</t>
        </is>
      </c>
      <c r="K31" s="14" t="n">
        <v>0</v>
      </c>
      <c r="L31" s="13" t="inlineStr">
        <is>
          <t>Tabletop gửi đúng audience/cadence [ĐIỀN], nêu impact/action/update time và không hứa điều chưa xác nhận.</t>
        </is>
      </c>
      <c r="M31" s="13" t="inlineStr">
        <is>
          <t>[ĐIỀN: quyết định/link evidence]</t>
        </is>
      </c>
    </row>
    <row r="32" ht="76" customHeight="1">
      <c r="A32" s="7" t="inlineStr">
        <is>
          <t>P4-05-01</t>
        </is>
      </c>
      <c r="B32" s="8" t="inlineStr">
        <is>
          <t>5. Backup, Restore &amp; Reconciliation</t>
        </is>
      </c>
      <c r="C32" s="8" t="inlineStr">
        <is>
          <t>RPO/RTO contract</t>
        </is>
      </c>
      <c r="D32" s="8" t="inlineStr">
        <is>
          <t>Chốt RPO/RTO riêng cho DB, world, content/config và toàn dịch vụ [ĐIỀN].</t>
        </is>
      </c>
      <c r="E32" s="8" t="inlineStr">
        <is>
          <t>Mức mất dữ liệu/downtime được kiểm soát rõ.</t>
        </is>
      </c>
      <c r="F32" s="8" t="inlineStr">
        <is>
          <t>Business/product decision</t>
        </is>
      </c>
      <c r="G32" s="7" t="inlineStr">
        <is>
          <t>P0</t>
        </is>
      </c>
      <c r="H32" s="9" t="inlineStr">
        <is>
          <t>M</t>
        </is>
      </c>
      <c r="I32" s="8" t="inlineStr">
        <is>
          <t>[ĐIỀN: tên/role]</t>
        </is>
      </c>
      <c r="J32" s="9" t="inlineStr">
        <is>
          <t>Chưa làm</t>
        </is>
      </c>
      <c r="K32" s="9" t="n">
        <v>0</v>
      </c>
      <c r="L32" s="8" t="inlineStr">
        <is>
          <t>Mỗi data class có RPO/RTO, owner và measurement method; Product/Engineering/Operations ký, không còn mục production TBD.</t>
        </is>
      </c>
      <c r="M32" s="10" t="inlineStr">
        <is>
          <t>RELEASE BLOCKER | [ĐIỀN: link evidence sau khi pass]</t>
        </is>
      </c>
    </row>
    <row r="33" ht="76" customHeight="1">
      <c r="A33" s="7" t="inlineStr">
        <is>
          <t>P4-05-02</t>
        </is>
      </c>
      <c r="B33" s="8" t="inlineStr">
        <is>
          <t>5. Backup, Restore &amp; Reconciliation</t>
        </is>
      </c>
      <c r="C33" s="8" t="inlineStr">
        <is>
          <t>Database backup and PITR</t>
        </is>
      </c>
      <c r="D33" s="8" t="inlineStr">
        <is>
          <t>Cấu hình encrypted off-host backup và đánh giá WAL/PITR PostgreSQL; retention [ĐIỀN].</t>
        </is>
      </c>
      <c r="E33" s="8" t="inlineStr">
        <is>
          <t>Tiền và unlock có thể phục hồi đến điểm nhất quán.</t>
        </is>
      </c>
      <c r="F33" s="8" t="inlineStr">
        <is>
          <t>RPO/RTO; PostgreSQL</t>
        </is>
      </c>
      <c r="G33" s="7" t="inlineStr">
        <is>
          <t>P0</t>
        </is>
      </c>
      <c r="H33" s="9" t="inlineStr">
        <is>
          <t>XL</t>
        </is>
      </c>
      <c r="I33" s="8" t="inlineStr">
        <is>
          <t>[ĐIỀN: tên/role]</t>
        </is>
      </c>
      <c r="J33" s="9" t="inlineStr">
        <is>
          <t>Chưa làm</t>
        </is>
      </c>
      <c r="K33" s="9" t="n">
        <v>0</v>
      </c>
      <c r="L33" s="8" t="inlineStr">
        <is>
          <t>Backup đạt lịch/RPO; restore tới timestamp mẫu pass checksum/invariant; job failure page đúng owner; access test pass.</t>
        </is>
      </c>
      <c r="M33" s="10" t="inlineStr">
        <is>
          <t>RELEASE BLOCKER | [ĐIỀN: link evidence sau khi pass]</t>
        </is>
      </c>
    </row>
    <row r="34" ht="76" customHeight="1">
      <c r="A34" s="7" t="inlineStr">
        <is>
          <t>P4-05-03</t>
        </is>
      </c>
      <c r="B34" s="8" t="inlineStr">
        <is>
          <t>5. Backup, Restore &amp; Reconciliation</t>
        </is>
      </c>
      <c r="C34" s="8" t="inlineStr">
        <is>
          <t>World/content/config backup</t>
        </is>
      </c>
      <c r="D34" s="8" t="inlineStr">
        <is>
          <t>Version world snapshot, canonical stage, content/config/artifact và pack compatibility metadata.</t>
        </is>
      </c>
      <c r="E34" s="8" t="inlineStr">
        <is>
          <t>Nhà hàng phục hồi đúng hình ảnh tương ứng dữ liệu.</t>
        </is>
      </c>
      <c r="F34" s="8" t="inlineStr">
        <is>
          <t>Immutable artifacts; RPO/RTO</t>
        </is>
      </c>
      <c r="G34" s="7" t="inlineStr">
        <is>
          <t>P0</t>
        </is>
      </c>
      <c r="H34" s="9" t="inlineStr">
        <is>
          <t>L</t>
        </is>
      </c>
      <c r="I34" s="8" t="inlineStr">
        <is>
          <t>[ĐIỀN: tên/role]</t>
        </is>
      </c>
      <c r="J34" s="9" t="inlineStr">
        <is>
          <t>Chưa làm</t>
        </is>
      </c>
      <c r="K34" s="9" t="n">
        <v>0</v>
      </c>
      <c r="L34" s="8" t="inlineStr">
        <is>
          <t>Mỗi backup map được DB point và version set; missing/mismatch bị preflight chặn; restore không dùng WorldEdit undo history.</t>
        </is>
      </c>
      <c r="M34" s="10" t="inlineStr">
        <is>
          <t>RELEASE BLOCKER | [ĐIỀN: link evidence sau khi pass]</t>
        </is>
      </c>
    </row>
    <row r="35" ht="76" customHeight="1">
      <c r="A35" s="7" t="inlineStr">
        <is>
          <t>P4-05-04</t>
        </is>
      </c>
      <c r="B35" s="8" t="inlineStr">
        <is>
          <t>5. Backup, Restore &amp; Reconciliation</t>
        </is>
      </c>
      <c r="C35" s="8" t="inlineStr">
        <is>
          <t>Coordinated restore drill</t>
        </is>
      </c>
      <c r="D35" s="8" t="inlineStr">
        <is>
          <t>Restore vào môi trường cô lập, chọn DB/world/version point, chạy migration/reconcile/smoke rồi mới cutover.</t>
        </is>
      </c>
      <c r="E35" s="8" t="inlineStr">
        <is>
          <t>Công sức người chơi không mất hoặc nhân đôi sau thảm họa.</t>
        </is>
      </c>
      <c r="F35" s="8" t="inlineStr">
        <is>
          <t>All backups; runbooks</t>
        </is>
      </c>
      <c r="G35" s="7" t="inlineStr">
        <is>
          <t>P0</t>
        </is>
      </c>
      <c r="H35" s="9" t="inlineStr">
        <is>
          <t>XL</t>
        </is>
      </c>
      <c r="I35" s="8" t="inlineStr">
        <is>
          <t>[ĐIỀN: tên/role]</t>
        </is>
      </c>
      <c r="J35" s="9" t="inlineStr">
        <is>
          <t>Chưa làm</t>
        </is>
      </c>
      <c r="K35" s="9" t="n">
        <v>0</v>
      </c>
      <c r="L35" s="8" t="inlineStr">
        <is>
          <t>Drill đạt RPO/RTO [ĐIỀN]; balance/unlock/order/prestige/world invariants sạch; 0 duplicate; biên bản và evidence được ký.</t>
        </is>
      </c>
      <c r="M35" s="10" t="inlineStr">
        <is>
          <t>RELEASE BLOCKER | [ĐIỀN: link evidence sau khi pass]</t>
        </is>
      </c>
    </row>
    <row r="36" ht="76" customHeight="1">
      <c r="A36" s="7" t="inlineStr">
        <is>
          <t>P4-05-05</t>
        </is>
      </c>
      <c r="B36" s="8" t="inlineStr">
        <is>
          <t>5. Backup, Restore &amp; Reconciliation</t>
        </is>
      </c>
      <c r="C36" s="8" t="inlineStr">
        <is>
          <t>Post-restore reconciliation</t>
        </is>
      </c>
      <c r="D36" s="8" t="inlineStr">
        <is>
          <t>Đối chiếu ledger/balance, unlock/stage, operation fence, order/entitlement, prestige, entity và resource version.</t>
        </is>
      </c>
      <c r="E36" s="8" t="inlineStr">
        <is>
          <t>Phục hồi không để trạng thái ngầm bị sai.</t>
        </is>
      </c>
      <c r="F36" s="8" t="inlineStr">
        <is>
          <t>Restore drill; reconciliation tooling</t>
        </is>
      </c>
      <c r="G36" s="7" t="inlineStr">
        <is>
          <t>P0</t>
        </is>
      </c>
      <c r="H36" s="9" t="inlineStr">
        <is>
          <t>XL</t>
        </is>
      </c>
      <c r="I36" s="8" t="inlineStr">
        <is>
          <t>[ĐIỀN: tên/role]</t>
        </is>
      </c>
      <c r="J36" s="9" t="inlineStr">
        <is>
          <t>Chưa làm</t>
        </is>
      </c>
      <c r="K36" s="9" t="n">
        <v>0</v>
      </c>
      <c r="L36" s="8" t="inlineStr">
        <is>
          <t>100% fixture sai được phát hiện; rerun idempotent; unresolved mismatch = 0 trước reopen hoặc có no-go decision.</t>
        </is>
      </c>
      <c r="M36" s="10" t="inlineStr">
        <is>
          <t>RELEASE BLOCKER | [ĐIỀN: link evidence sau khi pass]</t>
        </is>
      </c>
    </row>
    <row r="37" ht="76" customHeight="1">
      <c r="A37" s="7" t="inlineStr">
        <is>
          <t>P4-05-06</t>
        </is>
      </c>
      <c r="B37" s="8" t="inlineStr">
        <is>
          <t>5. Backup, Restore &amp; Reconciliation</t>
        </is>
      </c>
      <c r="C37" s="8" t="inlineStr">
        <is>
          <t>Backup security and retention</t>
        </is>
      </c>
      <c r="D37" s="8" t="inlineStr">
        <is>
          <t>Kiểm tra encryption, least privilege, key rotation, deletion, immutability và restore access.</t>
        </is>
      </c>
      <c r="E37" s="8" t="inlineStr">
        <is>
          <t>Bản sao lưu không trở thành điểm rò rỉ dữ liệu.</t>
        </is>
      </c>
      <c r="F37" s="8" t="inlineStr">
        <is>
          <t>Privacy; backup systems</t>
        </is>
      </c>
      <c r="G37" s="7" t="inlineStr">
        <is>
          <t>P0</t>
        </is>
      </c>
      <c r="H37" s="9" t="inlineStr">
        <is>
          <t>L</t>
        </is>
      </c>
      <c r="I37" s="8" t="inlineStr">
        <is>
          <t>[ĐIỀN: tên/role]</t>
        </is>
      </c>
      <c r="J37" s="9" t="inlineStr">
        <is>
          <t>Chưa làm</t>
        </is>
      </c>
      <c r="K37" s="9" t="n">
        <v>0</v>
      </c>
      <c r="L37" s="8" t="inlineStr">
        <is>
          <t>Unauthorized access bị deny/audit; key rotation và retention expiry pass; backup production không tải về máy cá nhân.</t>
        </is>
      </c>
      <c r="M37" s="10" t="inlineStr">
        <is>
          <t>RELEASE BLOCKER | [ĐIỀN: link evidence sau khi pass]</t>
        </is>
      </c>
    </row>
    <row r="38" ht="76" customHeight="1">
      <c r="A38" s="7" t="inlineStr">
        <is>
          <t>P4-06-01</t>
        </is>
      </c>
      <c r="B38" s="8" t="inlineStr">
        <is>
          <t>6. Resilience &amp; Failure Injection</t>
        </is>
      </c>
      <c r="C38" s="8" t="inlineStr">
        <is>
          <t>Long soak test</t>
        </is>
      </c>
      <c r="D38" s="8" t="inlineStr">
        <is>
          <t>Chạy workload production-like [ĐIỀN: duration] gồm join/leave, plot churn, NPC, purchase, co-op và visit.</t>
        </is>
      </c>
      <c r="E38" s="8" t="inlineStr">
        <is>
          <t>Server ổn định qua nhiều giờ/ngày hoạt động.</t>
        </is>
      </c>
      <c r="F38" s="8" t="inlineStr">
        <is>
          <t>Capacity model; dashboards</t>
        </is>
      </c>
      <c r="G38" s="7" t="inlineStr">
        <is>
          <t>P0</t>
        </is>
      </c>
      <c r="H38" s="9" t="inlineStr">
        <is>
          <t>XL</t>
        </is>
      </c>
      <c r="I38" s="8" t="inlineStr">
        <is>
          <t>[ĐIỀN: tên/role]</t>
        </is>
      </c>
      <c r="J38" s="9" t="inlineStr">
        <is>
          <t>Chưa làm</t>
        </is>
      </c>
      <c r="K38" s="9" t="n">
        <v>0</v>
      </c>
      <c r="L38" s="8" t="inlineStr">
        <is>
          <t>Không crash/deadlock/invariant violation; heap/entity/task/chunk/connection slope dưới ngưỡng [ĐIỀN]; restart sau soak pass.</t>
        </is>
      </c>
      <c r="M38" s="10" t="inlineStr">
        <is>
          <t>RELEASE BLOCKER | [ĐIỀN: link evidence sau khi pass]</t>
        </is>
      </c>
    </row>
    <row r="39" ht="76" customHeight="1">
      <c r="A39" s="7" t="inlineStr">
        <is>
          <t>P4-06-02</t>
        </is>
      </c>
      <c r="B39" s="8" t="inlineStr">
        <is>
          <t>6. Resilience &amp; Failure Injection</t>
        </is>
      </c>
      <c r="C39" s="8" t="inlineStr">
        <is>
          <t>Reconnect storm</t>
        </is>
      </c>
      <c r="D39" s="8" t="inlineStr">
        <is>
          <t>Mô phỏng [ĐIỀN] client disconnect/reconnect đồng thời khi plot/order/purchase đang hoạt động.</t>
        </is>
      </c>
      <c r="E39" s="8" t="inlineStr">
        <is>
          <t>Mất mạng diện rộng không làm server hoặc dữ liệu hỏng.</t>
        </is>
      </c>
      <c r="F39" s="8" t="inlineStr">
        <is>
          <t>Load generator; session recovery</t>
        </is>
      </c>
      <c r="G39" s="7" t="inlineStr">
        <is>
          <t>P0</t>
        </is>
      </c>
      <c r="H39" s="9" t="inlineStr">
        <is>
          <t>L</t>
        </is>
      </c>
      <c r="I39" s="8" t="inlineStr">
        <is>
          <t>[ĐIỀN: tên/role]</t>
        </is>
      </c>
      <c r="J39" s="9" t="inlineStr">
        <is>
          <t>Chưa làm</t>
        </is>
      </c>
      <c r="K39" s="9" t="n">
        <v>0</v>
      </c>
      <c r="L39" s="8" t="inlineStr">
        <is>
          <t>Login/session queues bounded; tick/DB đạt threshold; 0 duplicate session/reward/entitlement; recovery trong [ĐIỀN].</t>
        </is>
      </c>
      <c r="M39" s="10" t="inlineStr">
        <is>
          <t>RELEASE BLOCKER | [ĐIỀN: link evidence sau khi pass]</t>
        </is>
      </c>
    </row>
    <row r="40" ht="76" customHeight="1">
      <c r="A40" s="7" t="inlineStr">
        <is>
          <t>P4-06-03</t>
        </is>
      </c>
      <c r="B40" s="8" t="inlineStr">
        <is>
          <t>6. Resilience &amp; Failure Injection</t>
        </is>
      </c>
      <c r="C40" s="8" t="inlineStr">
        <is>
          <t>Degraded database test</t>
        </is>
      </c>
      <c r="D40" s="8" t="inlineStr">
        <is>
          <t>Inject latency, timeout, disconnect, pool exhaustion, read-only và recovery.</t>
        </is>
      </c>
      <c r="E40" s="8" t="inlineStr">
        <is>
          <t>Database lỗi không làm sai economy.</t>
        </is>
      </c>
      <c r="F40" s="8" t="inlineStr">
        <is>
          <t>Degraded-mode policy; observability</t>
        </is>
      </c>
      <c r="G40" s="7" t="inlineStr">
        <is>
          <t>P0</t>
        </is>
      </c>
      <c r="H40" s="9" t="inlineStr">
        <is>
          <t>XL</t>
        </is>
      </c>
      <c r="I40" s="8" t="inlineStr">
        <is>
          <t>[ĐIỀN: tên/role]</t>
        </is>
      </c>
      <c r="J40" s="9" t="inlineStr">
        <is>
          <t>Chưa làm</t>
        </is>
      </c>
      <c r="K40" s="9" t="n">
        <v>0</v>
      </c>
      <c r="L40" s="8" t="inlineStr">
        <is>
          <t>Economic write fail-closed; main thread không block; committed operation không mất/double; exit degraded mode reconciliation sạch.</t>
        </is>
      </c>
      <c r="M40" s="10" t="inlineStr">
        <is>
          <t>RELEASE BLOCKER | [ĐIỀN: link evidence sau khi pass]</t>
        </is>
      </c>
    </row>
    <row r="41" ht="76" customHeight="1">
      <c r="A41" s="7" t="inlineStr">
        <is>
          <t>P4-06-04</t>
        </is>
      </c>
      <c r="B41" s="8" t="inlineStr">
        <is>
          <t>6. Resilience &amp; Failure Injection</t>
        </is>
      </c>
      <c r="C41" s="8" t="inlineStr">
        <is>
          <t>Crash injection matrix</t>
        </is>
      </c>
      <c r="D41" s="8" t="inlineStr">
        <is>
          <t>Kill process tại mỗi phase purchase, payout, reset, prestige, inventory entitlement và world operation.</t>
        </is>
      </c>
      <c r="E41" s="8" t="inlineStr">
        <is>
          <t>Crash không làm mất tiền, nhân đôi món hoặc kẹt plot.</t>
        </is>
      </c>
      <c r="F41" s="8" t="inlineStr">
        <is>
          <t>Durable state machines; recovery</t>
        </is>
      </c>
      <c r="G41" s="7" t="inlineStr">
        <is>
          <t>P0</t>
        </is>
      </c>
      <c r="H41" s="9" t="inlineStr">
        <is>
          <t>XL</t>
        </is>
      </c>
      <c r="I41" s="8" t="inlineStr">
        <is>
          <t>[ĐIỀN: tên/role]</t>
        </is>
      </c>
      <c r="J41" s="9" t="inlineStr">
        <is>
          <t>Chưa làm</t>
        </is>
      </c>
      <c r="K41" s="9" t="n">
        <v>0</v>
      </c>
      <c r="L41" s="8" t="inlineStr">
        <is>
          <t>Mỗi checkpoint chạy [ĐIỀN] lần; operation đạt terminal/retryable state; ledger delta 0; canonical world và entitlement khớp.</t>
        </is>
      </c>
      <c r="M41" s="10" t="inlineStr">
        <is>
          <t>RELEASE BLOCKER | [ĐIỀN: link evidence sau khi pass]</t>
        </is>
      </c>
    </row>
    <row r="42" ht="76" customHeight="1">
      <c r="A42" s="7" t="inlineStr">
        <is>
          <t>P4-06-05</t>
        </is>
      </c>
      <c r="B42" s="8" t="inlineStr">
        <is>
          <t>6. Resilience &amp; Failure Injection</t>
        </is>
      </c>
      <c r="C42" s="8" t="inlineStr">
        <is>
          <t>Resource-pack/CDN failure</t>
        </is>
      </c>
      <c r="D42" s="8" t="inlineStr">
        <is>
          <t>Inject reject, timeout, invalid URL/hash, corrupt cache, failed reload, CDN outage và rollback version.</t>
        </is>
      </c>
      <c r="E42" s="8" t="inlineStr">
        <is>
          <t>Người chơi không gặp control vô hình hoặc vòng tải vô hạn.</t>
        </is>
      </c>
      <c r="F42" s="8" t="inlineStr">
        <is>
          <t>Supported client matrix; pack artifact</t>
        </is>
      </c>
      <c r="G42" s="7" t="inlineStr">
        <is>
          <t>P0</t>
        </is>
      </c>
      <c r="H42" s="9" t="inlineStr">
        <is>
          <t>L</t>
        </is>
      </c>
      <c r="I42" s="8" t="inlineStr">
        <is>
          <t>[ĐIỀN: tên/role]</t>
        </is>
      </c>
      <c r="J42" s="9" t="inlineStr">
        <is>
          <t>Chưa làm</t>
        </is>
      </c>
      <c r="K42" s="9" t="n">
        <v>0</v>
      </c>
      <c r="L42" s="8" t="inlineStr">
        <is>
          <t>Mọi client support theo đúng required/optional policy; retry/help/fallback rõ; pack mismatch không vào gameplay phụ thuộc asset.</t>
        </is>
      </c>
      <c r="M42" s="10" t="inlineStr">
        <is>
          <t>RELEASE BLOCKER | [ĐIỀN: link evidence sau khi pass]</t>
        </is>
      </c>
    </row>
    <row r="43" ht="76" customHeight="1">
      <c r="A43" s="7" t="inlineStr">
        <is>
          <t>P4-06-06</t>
        </is>
      </c>
      <c r="B43" s="8" t="inlineStr">
        <is>
          <t>6. Resilience &amp; Failure Injection</t>
        </is>
      </c>
      <c r="C43" s="8" t="inlineStr">
        <is>
          <t>Capacity and overload test</t>
        </is>
      </c>
      <c r="D43" s="8" t="inlineStr">
        <is>
          <t>Chạy expected/peak/beyond-peak theo active plot, NPC, path, construction, DB và pack workload [ĐIỀN].</t>
        </is>
      </c>
      <c r="E43" s="8" t="inlineStr">
        <is>
          <t>Trải nghiệm mượt trong tải công bố và giảm tải an toàn khi quá mức.</t>
        </is>
      </c>
      <c r="F43" s="8" t="inlineStr">
        <is>
          <t>Hardware; budgets; SLO</t>
        </is>
      </c>
      <c r="G43" s="7" t="inlineStr">
        <is>
          <t>P0</t>
        </is>
      </c>
      <c r="H43" s="9" t="inlineStr">
        <is>
          <t>XL</t>
        </is>
      </c>
      <c r="I43" s="8" t="inlineStr">
        <is>
          <t>[ĐIỀN: tên/role]</t>
        </is>
      </c>
      <c r="J43" s="9" t="inlineStr">
        <is>
          <t>Chưa làm</t>
        </is>
      </c>
      <c r="K43" s="9" t="n">
        <v>0</v>
      </c>
      <c r="L43" s="8" t="inlineStr">
        <is>
          <t>Expected/peak đạt MSPT p95 dưới budget và &lt;50 ms; overload kích hoạt backpressure, không crash/corrupt/unbounded growth.</t>
        </is>
      </c>
      <c r="M43" s="10" t="inlineStr">
        <is>
          <t>RELEASE BLOCKER | [ĐIỀN: link evidence sau khi pass]</t>
        </is>
      </c>
    </row>
    <row r="44" ht="76" customHeight="1">
      <c r="A44" s="7" t="inlineStr">
        <is>
          <t>P4-06-07</t>
        </is>
      </c>
      <c r="B44" s="8" t="inlineStr">
        <is>
          <t>6. Resilience &amp; Failure Injection</t>
        </is>
      </c>
      <c r="C44" s="8" t="inlineStr">
        <is>
          <t>Plot reset/reassign chaos</t>
        </is>
      </c>
      <c r="D44" s="8" t="inlineStr">
        <is>
          <t>Trộn reset, reassign, unload/reload, visitor evacuation, purchase và stale callback.</t>
        </is>
      </c>
      <c r="E44" s="8" t="inlineStr">
        <is>
          <t>Không có NPC ma, sửa nhầm plot hoặc mất progression.</t>
        </is>
      </c>
      <c r="F44" s="8" t="inlineStr">
        <is>
          <t>Fence token; entity lifecycle</t>
        </is>
      </c>
      <c r="G44" s="7" t="inlineStr">
        <is>
          <t>P0</t>
        </is>
      </c>
      <c r="H44" s="9" t="inlineStr">
        <is>
          <t>XL</t>
        </is>
      </c>
      <c r="I44" s="8" t="inlineStr">
        <is>
          <t>[ĐIỀN: tên/role]</t>
        </is>
      </c>
      <c r="J44" s="9" t="inlineStr">
        <is>
          <t>Chưa làm</t>
        </is>
      </c>
      <c r="K44" s="9" t="n">
        <v>0</v>
      </c>
      <c r="L44" s="8" t="inlineStr">
        <is>
          <t>Stale epoch/fence mutation = 0; orphan entity/task/chunk lease = 0; canonical stage/revision hội tụ sau mọi vòng.</t>
        </is>
      </c>
      <c r="M44" s="10" t="inlineStr">
        <is>
          <t>RELEASE BLOCKER | [ĐIỀN: link evidence sau khi pass]</t>
        </is>
      </c>
    </row>
    <row r="45" ht="76" customHeight="1">
      <c r="A45" s="7" t="inlineStr">
        <is>
          <t>P4-07-01</t>
        </is>
      </c>
      <c r="B45" s="8" t="inlineStr">
        <is>
          <t>7. Launch Readiness</t>
        </is>
      </c>
      <c r="C45" s="8" t="inlineStr">
        <is>
          <t>Production security review</t>
        </is>
      </c>
      <c r="D45" s="8" t="inlineStr">
        <is>
          <t>Review permissions, admin commands, DB/network, secrets, plugin surface, rate limit và audit tamper/access.</t>
        </is>
      </c>
      <c r="E45" s="8" t="inlineStr">
        <is>
          <t>Giảm lạm dụng quyền và phá hoại server.</t>
        </is>
      </c>
      <c r="F45" s="8" t="inlineStr">
        <is>
          <t>Compliance; config; admin tools</t>
        </is>
      </c>
      <c r="G45" s="7" t="inlineStr">
        <is>
          <t>P0</t>
        </is>
      </c>
      <c r="H45" s="9" t="inlineStr">
        <is>
          <t>L</t>
        </is>
      </c>
      <c r="I45" s="8" t="inlineStr">
        <is>
          <t>[ĐIỀN: tên/role]</t>
        </is>
      </c>
      <c r="J45" s="9" t="inlineStr">
        <is>
          <t>Chưa làm</t>
        </is>
      </c>
      <c r="K45" s="9" t="n">
        <v>0</v>
      </c>
      <c r="L45" s="8" t="inlineStr">
        <is>
          <t>Negative permission tests pass; least privilege; security findings vượt policy = 0 hoặc no-go waiver được ký.</t>
        </is>
      </c>
      <c r="M45" s="10" t="inlineStr">
        <is>
          <t>RELEASE BLOCKER | [ĐIỀN: link evidence sau khi pass]</t>
        </is>
      </c>
    </row>
    <row r="46" ht="76" customHeight="1">
      <c r="A46" s="7" t="inlineStr">
        <is>
          <t>P4-07-02</t>
        </is>
      </c>
      <c r="B46" s="8" t="inlineStr">
        <is>
          <t>7. Launch Readiness</t>
        </is>
      </c>
      <c r="C46" s="8" t="inlineStr">
        <is>
          <t>Operational access rehearsal</t>
        </is>
      </c>
      <c r="D46" s="8" t="inlineStr">
        <is>
          <t>Xác nhận dashboard/log/DB/host/CDN/backup/status access cho đúng role, MFA và break-glass.</t>
        </is>
      </c>
      <c r="E46" s="8" t="inlineStr">
        <is>
          <t>On-call có thể xử lý sự cố mà không chia sẻ tài khoản.</t>
        </is>
      </c>
      <c r="F46" s="8" t="inlineStr">
        <is>
          <t>On-call roster; security review</t>
        </is>
      </c>
      <c r="G46" s="7" t="inlineStr">
        <is>
          <t>P0</t>
        </is>
      </c>
      <c r="H46" s="9" t="inlineStr">
        <is>
          <t>M</t>
        </is>
      </c>
      <c r="I46" s="8" t="inlineStr">
        <is>
          <t>[ĐIỀN: tên/role]</t>
        </is>
      </c>
      <c r="J46" s="9" t="inlineStr">
        <is>
          <t>Chưa làm</t>
        </is>
      </c>
      <c r="K46" s="9" t="n">
        <v>0</v>
      </c>
      <c r="L46" s="8" t="inlineStr">
        <is>
          <t>Primary/secondary thực hiện read-only diagnosis và approved recovery; shared credential = 0; revoke test pass.</t>
        </is>
      </c>
      <c r="M46" s="10" t="inlineStr">
        <is>
          <t>RELEASE BLOCKER | [ĐIỀN: link evidence sau khi pass]</t>
        </is>
      </c>
    </row>
    <row r="47" ht="76" customHeight="1">
      <c r="A47" s="11" t="inlineStr">
        <is>
          <t>P4-07-03</t>
        </is>
      </c>
      <c r="B47" s="12" t="inlineStr">
        <is>
          <t>7. Launch Readiness</t>
        </is>
      </c>
      <c r="C47" s="12" t="inlineStr">
        <is>
          <t>Support readiness</t>
        </is>
      </c>
      <c r="D47" s="12" t="inlineStr">
        <is>
          <t>Chuẩn bị FAQ, known issues, report/support route, refund/correction policy và triage queue.</t>
        </is>
      </c>
      <c r="E47" s="12" t="inlineStr">
        <is>
          <t>Người chơi biết cách nhận trợ giúp.</t>
        </is>
      </c>
      <c r="F47" s="12" t="inlineStr">
        <is>
          <t>Scope; moderation; communications</t>
        </is>
      </c>
      <c r="G47" s="11" t="inlineStr">
        <is>
          <t>P1</t>
        </is>
      </c>
      <c r="H47" s="11" t="inlineStr">
        <is>
          <t>M</t>
        </is>
      </c>
      <c r="I47" s="13" t="inlineStr">
        <is>
          <t>[ĐIỀN: tên/role]</t>
        </is>
      </c>
      <c r="J47" s="11" t="inlineStr">
        <is>
          <t>Chưa làm</t>
        </is>
      </c>
      <c r="K47" s="11" t="n">
        <v>0</v>
      </c>
      <c r="L47" s="12" t="inlineStr">
        <is>
          <t>Sample ticket từ submit→triage→resolution pass; SLA/owner rõ; không yêu cầu secret hoặc dữ liệu thừa.</t>
        </is>
      </c>
      <c r="M47" s="13" t="inlineStr">
        <is>
          <t>[ĐIỀN: quyết định/link evidence]</t>
        </is>
      </c>
    </row>
    <row r="48" ht="76" customHeight="1">
      <c r="A48" s="7" t="inlineStr">
        <is>
          <t>P4-07-04</t>
        </is>
      </c>
      <c r="B48" s="8" t="inlineStr">
        <is>
          <t>7. Launch Readiness</t>
        </is>
      </c>
      <c r="C48" s="8" t="inlineStr">
        <is>
          <t>Launch-day runbook</t>
        </is>
      </c>
      <c r="D48" s="8" t="inlineStr">
        <is>
          <t>Timeline T-24h đến T+24h, freeze, backup, deploy, canary, promote, monitoring, comms và rollback triggers.</t>
        </is>
      </c>
      <c r="E48" s="8" t="inlineStr">
        <is>
          <t>Ngày mở server có trách nhiệm và quyết định rõ.</t>
        </is>
      </c>
      <c r="F48" s="8" t="inlineStr">
        <is>
          <t>All production runbooks</t>
        </is>
      </c>
      <c r="G48" s="7" t="inlineStr">
        <is>
          <t>P0</t>
        </is>
      </c>
      <c r="H48" s="9" t="inlineStr">
        <is>
          <t>L</t>
        </is>
      </c>
      <c r="I48" s="8" t="inlineStr">
        <is>
          <t>[ĐIỀN: tên/role]</t>
        </is>
      </c>
      <c r="J48" s="9" t="inlineStr">
        <is>
          <t>Chưa làm</t>
        </is>
      </c>
      <c r="K48" s="9" t="n">
        <v>0</v>
      </c>
      <c r="L48" s="8" t="inlineStr">
        <is>
          <t>Tabletop đầy đủ vai trò pass; mọi bước có owner/evidence; trigger no-go/rollback và communication cadence [ĐIỀN] rõ.</t>
        </is>
      </c>
      <c r="M48" s="10" t="inlineStr">
        <is>
          <t>RELEASE BLOCKER | [ĐIỀN: link evidence sau khi pass]</t>
        </is>
      </c>
    </row>
    <row r="49" ht="76" customHeight="1">
      <c r="A49" s="7" t="inlineStr">
        <is>
          <t>P4-07-05</t>
        </is>
      </c>
      <c r="B49" s="8" t="inlineStr">
        <is>
          <t>7. Launch Readiness</t>
        </is>
      </c>
      <c r="C49" s="8" t="inlineStr">
        <is>
          <t>Final production acceptance</t>
        </is>
      </c>
      <c r="D49" s="8" t="inlineStr">
        <is>
          <t>Chạy exact release candidate qua compliance, security, smoke, regression, exploit, failure, restore và operational review.</t>
        </is>
      </c>
      <c r="E49" s="8" t="inlineStr">
        <is>
          <t>Chỉ phát hành phiên bản có bằng chứng chất lượng đầy đủ.</t>
        </is>
      </c>
      <c r="F49" s="8" t="inlineStr">
        <is>
          <t>All P0 tasks</t>
        </is>
      </c>
      <c r="G49" s="7" t="inlineStr">
        <is>
          <t>P0</t>
        </is>
      </c>
      <c r="H49" s="9" t="inlineStr">
        <is>
          <t>XL</t>
        </is>
      </c>
      <c r="I49" s="8" t="inlineStr">
        <is>
          <t>[ĐIỀN: tên/role]</t>
        </is>
      </c>
      <c r="J49" s="9" t="inlineStr">
        <is>
          <t>Chưa làm</t>
        </is>
      </c>
      <c r="K49" s="9" t="n">
        <v>0</v>
      </c>
      <c r="L49" s="8" t="inlineStr">
        <is>
          <t>100% release blocker hoàn thành; 0 P0/P1 không được chấp thuận; exact hashes được ký bởi Product, Engineering, QA và Operations.</t>
        </is>
      </c>
      <c r="M49" s="10" t="inlineStr">
        <is>
          <t>RELEASE BLOCKER | [ĐIỀN: link evidence sau khi pass]</t>
        </is>
      </c>
    </row>
    <row r="50" ht="76" customHeight="1">
      <c r="A50" s="11" t="inlineStr">
        <is>
          <t>P4-07-06</t>
        </is>
      </c>
      <c r="B50" s="12" t="inlineStr">
        <is>
          <t>7. Launch Readiness</t>
        </is>
      </c>
      <c r="C50" s="12" t="inlineStr">
        <is>
          <t>Post-launch review</t>
        </is>
      </c>
      <c r="D50" s="13" t="inlineStr">
        <is>
          <t>Lên lịch checkpoint [ĐIỀN], review SLO, incident, economy, progression, moderation và capacity; không mở scope trước review.</t>
        </is>
      </c>
      <c r="E50" s="12" t="inlineStr">
        <is>
          <t>Sự cố thực tế được chuyển thành cải tiến có kiểm soát.</t>
        </is>
      </c>
      <c r="F50" s="12" t="inlineStr">
        <is>
          <t>Production launch</t>
        </is>
      </c>
      <c r="G50" s="11" t="inlineStr">
        <is>
          <t>P1</t>
        </is>
      </c>
      <c r="H50" s="11" t="inlineStr">
        <is>
          <t>S</t>
        </is>
      </c>
      <c r="I50" s="13" t="inlineStr">
        <is>
          <t>[ĐIỀN: tên/role]</t>
        </is>
      </c>
      <c r="J50" s="11" t="inlineStr">
        <is>
          <t>Chưa làm</t>
        </is>
      </c>
      <c r="K50" s="11" t="n">
        <v>0</v>
      </c>
      <c r="L50" s="12" t="inlineStr">
        <is>
          <t>Review có metric/evidence, action owner/deadline và quyết định giữ/rollback/tune; không có finding nghiêm trọng vô chủ.</t>
        </is>
      </c>
      <c r="M50" s="13" t="inlineStr">
        <is>
          <t>[ĐIỀN: quyết định/link evidence]</t>
        </is>
      </c>
    </row>
    <row r="53">
      <c r="A53" s="16" t="inlineStr">
        <is>
          <t>Milestones</t>
        </is>
      </c>
    </row>
    <row r="54">
      <c r="A54" s="17" t="inlineStr">
        <is>
          <t>ID</t>
        </is>
      </c>
      <c r="B54" s="17" t="inlineStr">
        <is>
          <t>Milestone</t>
        </is>
      </c>
      <c r="C54" s="17" t="inlineStr">
        <is>
          <t>Ngày mục tiêu</t>
        </is>
      </c>
      <c r="D54" s="17" t="inlineStr">
        <is>
          <t>Điều kiện hoàn thành</t>
        </is>
      </c>
      <c r="E54" s="17" t="inlineStr">
        <is>
          <t>Trạng thái</t>
        </is>
      </c>
    </row>
    <row r="55" ht="42" customHeight="1">
      <c r="A55" s="18" t="inlineStr">
        <is>
          <t>M1</t>
        </is>
      </c>
      <c r="B55" s="18" t="inlineStr">
        <is>
          <t>Scope &amp; trust lock</t>
        </is>
      </c>
      <c r="C55" s="18" t="inlineStr">
        <is>
          <t>[ĐIỀN: ngày]</t>
        </is>
      </c>
      <c r="D55" s="18" t="inlineStr">
        <is>
          <t>Launch scope/platform, compliance, privacy, moderation, asset/dependency provenance được ký.</t>
        </is>
      </c>
      <c r="E55" s="18" t="inlineStr">
        <is>
          <t>Chưa làm</t>
        </is>
      </c>
    </row>
    <row r="56" ht="42" customHeight="1">
      <c r="A56" s="19" t="inlineStr">
        <is>
          <t>M2</t>
        </is>
      </c>
      <c r="B56" s="19" t="inlineStr">
        <is>
          <t>Release pipeline ready</t>
        </is>
      </c>
      <c r="C56" s="19" t="inlineStr">
        <is>
          <t>[ĐIỀN: ngày]</t>
        </is>
      </c>
      <c r="D56" s="19" t="inlineStr">
        <is>
          <t>Artifact, migration, deploy, canary, rollback, smoke và secret management drill pass.</t>
        </is>
      </c>
      <c r="E56" s="19" t="inlineStr">
        <is>
          <t>Chưa làm</t>
        </is>
      </c>
    </row>
    <row r="57" ht="42" customHeight="1">
      <c r="A57" s="18" t="inlineStr">
        <is>
          <t>M3</t>
        </is>
      </c>
      <c r="B57" s="18" t="inlineStr">
        <is>
          <t>Recovery proven</t>
        </is>
      </c>
      <c r="C57" s="18" t="inlineStr">
        <is>
          <t>[ĐIỀN: ngày]</t>
        </is>
      </c>
      <c r="D57" s="18" t="inlineStr">
        <is>
          <t>RPO/RTO, backup/PITR, coordinated restore và reconciliation drill pass.</t>
        </is>
      </c>
      <c r="E57" s="18" t="inlineStr">
        <is>
          <t>Chưa làm</t>
        </is>
      </c>
    </row>
    <row r="58" ht="42" customHeight="1">
      <c r="A58" s="19" t="inlineStr">
        <is>
          <t>M4</t>
        </is>
      </c>
      <c r="B58" s="19" t="inlineStr">
        <is>
          <t>Resilience proven</t>
        </is>
      </c>
      <c r="C58" s="19" t="inlineStr">
        <is>
          <t>[ĐIỀN: ngày]</t>
        </is>
      </c>
      <c r="D58" s="19" t="inlineStr">
        <is>
          <t>Soak, reconnect, DB degraded, crash, pack/CDN, overload và plot chaos pass.</t>
        </is>
      </c>
      <c r="E58" s="19" t="inlineStr">
        <is>
          <t>Chưa làm</t>
        </is>
      </c>
    </row>
    <row r="59" ht="42" customHeight="1">
      <c r="A59" s="18" t="inlineStr">
        <is>
          <t>M5</t>
        </is>
      </c>
      <c r="B59" s="18" t="inlineStr">
        <is>
          <t>Production launch gate</t>
        </is>
      </c>
      <c r="C59" s="18" t="inlineStr">
        <is>
          <t>[ĐIỀN: ngày]</t>
        </is>
      </c>
      <c r="D59" s="18" t="inlineStr">
        <is>
          <t>Final acceptance ký; 0 release blocker; launch-day runbook tabletop pass.</t>
        </is>
      </c>
      <c r="E59" s="18" t="inlineStr">
        <is>
          <t>Chưa làm</t>
        </is>
      </c>
    </row>
    <row r="61">
      <c r="A61" s="16" t="inlineStr">
        <is>
          <t>Production Risks</t>
        </is>
      </c>
    </row>
    <row r="62">
      <c r="A62" s="17" t="inlineStr">
        <is>
          <t>ID</t>
        </is>
      </c>
      <c r="B62" s="17" t="inlineStr">
        <is>
          <t>Risk</t>
        </is>
      </c>
      <c r="C62" s="17" t="inlineStr">
        <is>
          <t>Ảnh hưởng</t>
        </is>
      </c>
      <c r="D62" s="17" t="inlineStr">
        <is>
          <t>Mitigation/Contingency</t>
        </is>
      </c>
      <c r="E62" s="17" t="inlineStr">
        <is>
          <t>Owner</t>
        </is>
      </c>
      <c r="F62" s="17" t="inlineStr">
        <is>
          <t>Trạng thái</t>
        </is>
      </c>
    </row>
    <row r="63" ht="42" customHeight="1">
      <c r="A63" s="18" t="inlineStr">
        <is>
          <t>R-01</t>
        </is>
      </c>
      <c r="B63" s="18" t="inlineStr">
        <is>
          <t>Restore DB/world lệch thời điểm tạo duplicate hoặc mất stage</t>
        </is>
      </c>
      <c r="C63" s="18" t="inlineStr">
        <is>
          <t>Rất cao</t>
        </is>
      </c>
      <c r="D63" s="18" t="inlineStr">
        <is>
          <t>Coordinated point, immutable versions, restore cô lập và reconciliation bắt buộc.</t>
        </is>
      </c>
      <c r="E63" s="18" t="inlineStr">
        <is>
          <t>[ĐIỀN: owner]</t>
        </is>
      </c>
      <c r="F63" s="18" t="inlineStr">
        <is>
          <t>Mở</t>
        </is>
      </c>
    </row>
    <row r="64" ht="42" customHeight="1">
      <c r="A64" s="19" t="inlineStr">
        <is>
          <t>R-02</t>
        </is>
      </c>
      <c r="B64" s="19" t="inlineStr">
        <is>
          <t>Canary không đại diện tải production</t>
        </is>
      </c>
      <c r="C64" s="19" t="inlineStr">
        <is>
          <t>Cao</t>
        </is>
      </c>
      <c r="D64" s="19" t="inlineStr">
        <is>
          <t>Synthetic workload + cohort thật, metric gate và staged ramp theo active plot/NPC.</t>
        </is>
      </c>
      <c r="E64" s="19" t="inlineStr">
        <is>
          <t>[ĐIỀN: owner]</t>
        </is>
      </c>
      <c r="F64" s="19" t="inlineStr">
        <is>
          <t>Mở</t>
        </is>
      </c>
    </row>
    <row r="65" ht="42" customHeight="1">
      <c r="A65" s="18" t="inlineStr">
        <is>
          <t>R-03</t>
        </is>
      </c>
      <c r="B65" s="18" t="inlineStr">
        <is>
          <t>Crash/failure test bỏ sót transaction boundary</t>
        </is>
      </c>
      <c r="C65" s="18" t="inlineStr">
        <is>
          <t>Rất cao</t>
        </is>
      </c>
      <c r="D65" s="18" t="inlineStr">
        <is>
          <t>State-transition inventory, deterministic fault injection và invariant scan mỗi checkpoint.</t>
        </is>
      </c>
      <c r="E65" s="18" t="inlineStr">
        <is>
          <t>[ĐIỀN: owner]</t>
        </is>
      </c>
      <c r="F65" s="18" t="inlineStr">
        <is>
          <t>Mở</t>
        </is>
      </c>
    </row>
    <row r="66" ht="42" customHeight="1">
      <c r="A66" s="19" t="inlineStr">
        <is>
          <t>R-04</t>
        </is>
      </c>
      <c r="B66" s="19" t="inlineStr">
        <is>
          <t>License/policy finding sát launch</t>
        </is>
      </c>
      <c r="C66" s="19" t="inlineStr">
        <is>
          <t>Cao</t>
        </is>
      </c>
      <c r="D66" s="19" t="inlineStr">
        <is>
          <t>Freeze asset/dependency sớm; manifest và approver; có phương án loại asset/store.</t>
        </is>
      </c>
      <c r="E66" s="19" t="inlineStr">
        <is>
          <t>[ĐIỀN: owner]</t>
        </is>
      </c>
      <c r="F66" s="19" t="inlineStr">
        <is>
          <t>Mở</t>
        </is>
      </c>
    </row>
    <row r="67" ht="42" customHeight="1">
      <c r="A67" s="18" t="inlineStr">
        <is>
          <t>R-05</t>
        </is>
      </c>
      <c r="B67" s="18" t="inlineStr">
        <is>
          <t>Alert noise hoặc thiếu signal làm chậm incident</t>
        </is>
      </c>
      <c r="C67" s="18" t="inlineStr">
        <is>
          <t>Cao</t>
        </is>
      </c>
      <c r="D67" s="18" t="inlineStr">
        <is>
          <t>Test fire/resolution, SLO-based paging, dashboard No Data và tabletop on-call.</t>
        </is>
      </c>
      <c r="E67" s="18" t="inlineStr">
        <is>
          <t>[ĐIỀN: owner]</t>
        </is>
      </c>
      <c r="F67" s="18" t="inlineStr">
        <is>
          <t>Mở</t>
        </is>
      </c>
    </row>
    <row r="68" ht="42" customHeight="1">
      <c r="A68" s="19" t="inlineStr">
        <is>
          <t>R-06</t>
        </is>
      </c>
      <c r="B68" s="19" t="inlineStr">
        <is>
          <t>Content scope creep thay đổi release candidate</t>
        </is>
      </c>
      <c r="C68" s="19" t="inlineStr">
        <is>
          <t>Cao</t>
        </is>
      </c>
      <c r="D68" s="19" t="inlineStr">
        <is>
          <t>Change freeze, feature flag, exact artifact hash; cắt content trước hardening.</t>
        </is>
      </c>
      <c r="E68" s="19" t="inlineStr">
        <is>
          <t>[ĐIỀN: owner]</t>
        </is>
      </c>
      <c r="F68" s="19" t="inlineStr">
        <is>
          <t>Mở</t>
        </is>
      </c>
    </row>
    <row r="69" ht="42" customHeight="1">
      <c r="A69" s="18" t="inlineStr">
        <is>
          <t>R-07</t>
        </is>
      </c>
      <c r="B69" s="18" t="inlineStr">
        <is>
          <t>Solo operator không đáp ứng on-call/moderation</t>
        </is>
      </c>
      <c r="C69" s="18" t="inlineStr">
        <is>
          <t>Cao</t>
        </is>
      </c>
      <c r="D69" s="18" t="inlineStr">
        <is>
          <t>Giảm launch window/concurrency, backup contact và công khai support hours.</t>
        </is>
      </c>
      <c r="E69" s="18" t="inlineStr">
        <is>
          <t>[ĐIỀN: owner]</t>
        </is>
      </c>
      <c r="F69" s="18" t="inlineStr">
        <is>
          <t>Mở</t>
        </is>
      </c>
    </row>
    <row r="71">
      <c r="A71" s="16" t="inlineStr">
        <is>
          <t>Production Exit Gates</t>
        </is>
      </c>
    </row>
    <row r="72">
      <c r="A72" s="17" t="inlineStr">
        <is>
          <t>ID</t>
        </is>
      </c>
      <c r="B72" s="17" t="inlineStr">
        <is>
          <t>Nhóm tiêu chí</t>
        </is>
      </c>
      <c r="C72" s="17" t="inlineStr">
        <is>
          <t>Điều kiện Go</t>
        </is>
      </c>
      <c r="D72" s="17" t="inlineStr">
        <is>
          <t>Approver</t>
        </is>
      </c>
      <c r="E72" s="17" t="inlineStr">
        <is>
          <t>Kết quả</t>
        </is>
      </c>
    </row>
    <row r="73" ht="42" customHeight="1">
      <c r="A73" s="18" t="inlineStr">
        <is>
          <t>PG-01</t>
        </is>
      </c>
      <c r="B73" s="18" t="inlineStr">
        <is>
          <t>Scope &amp; platform</t>
        </is>
      </c>
      <c r="C73" s="18" t="inlineStr">
        <is>
          <t>Scope/version/locale/pack/Geyser decision được ký; support matrix pass.</t>
        </is>
      </c>
      <c r="D73" s="18" t="inlineStr">
        <is>
          <t>[ĐIỀN: approver]</t>
        </is>
      </c>
      <c r="E73" s="18" t="inlineStr">
        <is>
          <t>Chưa làm</t>
        </is>
      </c>
    </row>
    <row r="74" ht="42" customHeight="1">
      <c r="A74" s="19" t="inlineStr">
        <is>
          <t>PG-02</t>
        </is>
      </c>
      <c r="B74" s="19" t="inlineStr">
        <is>
          <t>Compliance &amp; trust</t>
        </is>
      </c>
      <c r="C74" s="19" t="inlineStr">
        <is>
          <t>EULA/usage, branding/IP, asset/dependency license, privacy, moderation và monetization gate pass.</t>
        </is>
      </c>
      <c r="D74" s="19" t="inlineStr">
        <is>
          <t>[ĐIỀN: approver]</t>
        </is>
      </c>
      <c r="E74" s="19" t="inlineStr">
        <is>
          <t>Chưa làm</t>
        </is>
      </c>
    </row>
    <row r="75" ht="42" customHeight="1">
      <c r="A75" s="18" t="inlineStr">
        <is>
          <t>PG-03</t>
        </is>
      </c>
      <c r="B75" s="18" t="inlineStr">
        <is>
          <t>Release safety</t>
        </is>
      </c>
      <c r="C75" s="18" t="inlineStr">
        <is>
          <t>Immutable artifact, migration, deploy/canary/rollback và exact-artifact smoke pass.</t>
        </is>
      </c>
      <c r="D75" s="18" t="inlineStr">
        <is>
          <t>[ĐIỀN: approver]</t>
        </is>
      </c>
      <c r="E75" s="18" t="inlineStr">
        <is>
          <t>Chưa làm</t>
        </is>
      </c>
    </row>
    <row r="76" ht="42" customHeight="1">
      <c r="A76" s="19" t="inlineStr">
        <is>
          <t>PG-04</t>
        </is>
      </c>
      <c r="B76" s="19" t="inlineStr">
        <is>
          <t>Data durability</t>
        </is>
      </c>
      <c r="C76" s="19" t="inlineStr">
        <is>
          <t>Backup/PITR, coordinated restore đạt RPO/RTO và reconciliation không còn mismatch.</t>
        </is>
      </c>
      <c r="D76" s="19" t="inlineStr">
        <is>
          <t>[ĐIỀN: approver]</t>
        </is>
      </c>
      <c r="E76" s="19" t="inlineStr">
        <is>
          <t>Chưa làm</t>
        </is>
      </c>
    </row>
    <row r="77" ht="42" customHeight="1">
      <c r="A77" s="18" t="inlineStr">
        <is>
          <t>PG-05</t>
        </is>
      </c>
      <c r="B77" s="18" t="inlineStr">
        <is>
          <t>Observability</t>
        </is>
      </c>
      <c r="C77" s="18" t="inlineStr">
        <is>
          <t>Dashboard, SLO/alerts, correlation, on-call và runbook drills pass.</t>
        </is>
      </c>
      <c r="D77" s="18" t="inlineStr">
        <is>
          <t>[ĐIỀN: approver]</t>
        </is>
      </c>
      <c r="E77" s="18" t="inlineStr">
        <is>
          <t>Chưa làm</t>
        </is>
      </c>
    </row>
    <row r="78" ht="42" customHeight="1">
      <c r="A78" s="19" t="inlineStr">
        <is>
          <t>PG-06</t>
        </is>
      </c>
      <c r="B78" s="19" t="inlineStr">
        <is>
          <t>Resilience</t>
        </is>
      </c>
      <c r="C78" s="19" t="inlineStr">
        <is>
          <t>Long soak, reconnect storm, degraded DB, crash injection, pack/CDN và overload pass.</t>
        </is>
      </c>
      <c r="D78" s="19" t="inlineStr">
        <is>
          <t>[ĐIỀN: approver]</t>
        </is>
      </c>
      <c r="E78" s="19" t="inlineStr">
        <is>
          <t>Chưa làm</t>
        </is>
      </c>
    </row>
    <row r="79" ht="42" customHeight="1">
      <c r="A79" s="18" t="inlineStr">
        <is>
          <t>PG-07</t>
        </is>
      </c>
      <c r="B79" s="18" t="inlineStr">
        <is>
          <t>Security &amp; operations</t>
        </is>
      </c>
      <c r="C79" s="18" t="inlineStr">
        <is>
          <t>Permission/secret/access review và launch-day tabletop pass.</t>
        </is>
      </c>
      <c r="D79" s="18" t="inlineStr">
        <is>
          <t>[ĐIỀN: approver]</t>
        </is>
      </c>
      <c r="E79" s="18" t="inlineStr">
        <is>
          <t>Chưa làm</t>
        </is>
      </c>
    </row>
    <row r="80" ht="42" customHeight="1">
      <c r="A80" s="19" t="inlineStr">
        <is>
          <t>PG-08</t>
        </is>
      </c>
      <c r="B80" s="19" t="inlineStr">
        <is>
          <t>Final sign-off</t>
        </is>
      </c>
      <c r="C80" s="19" t="inlineStr">
        <is>
          <t>0 P0/P1 không được duyệt; Product, Engineering, QA và Operations ký exact hashes.</t>
        </is>
      </c>
      <c r="D80" s="19" t="inlineStr">
        <is>
          <t>[ĐIỀN: approver]</t>
        </is>
      </c>
      <c r="E80" s="19" t="inlineStr">
        <is>
          <t>Chưa làm</t>
        </is>
      </c>
    </row>
    <row r="82">
      <c r="A82" s="16" t="inlineStr">
        <is>
          <t>Definition of Done</t>
        </is>
      </c>
    </row>
    <row r="83">
      <c r="A83" s="17" t="inlineStr">
        <is>
          <t>ID</t>
        </is>
      </c>
      <c r="B83" s="17" t="inlineStr">
        <is>
          <t>Khía cạnh</t>
        </is>
      </c>
      <c r="C83" s="17" t="inlineStr">
        <is>
          <t>Điều kiện Done</t>
        </is>
      </c>
    </row>
    <row r="84" ht="42" customHeight="1">
      <c r="A84" s="19" t="inlineStr">
        <is>
          <t>DoD-01</t>
        </is>
      </c>
      <c r="B84" s="19" t="inlineStr">
        <is>
          <t>Evidence</t>
        </is>
      </c>
      <c r="C84" s="19" t="inlineStr">
        <is>
          <t>Test/drill evidence gắn exact build/config/schema/content/pack hashes; có timestamp và operator.</t>
        </is>
      </c>
    </row>
    <row r="85" ht="42" customHeight="1">
      <c r="A85" s="18" t="inlineStr">
        <is>
          <t>DoD-02</t>
        </is>
      </c>
      <c r="B85" s="18" t="inlineStr">
        <is>
          <t>Failure behavior</t>
        </is>
      </c>
      <c r="C85" s="18" t="inlineStr">
        <is>
          <t>Happy, boundary, retry/concurrent, restart/crash, degraded và rollback path liên quan đều pass.</t>
        </is>
      </c>
    </row>
    <row r="86" ht="42" customHeight="1">
      <c r="A86" s="19" t="inlineStr">
        <is>
          <t>DoD-03</t>
        </is>
      </c>
      <c r="B86" s="19" t="inlineStr">
        <is>
          <t>Data</t>
        </is>
      </c>
      <c r="C86" s="19" t="inlineStr">
        <is>
          <t>Không duplicate/loss; ledger và durable state khớp; reconciliation rerun idempotent và sạch.</t>
        </is>
      </c>
    </row>
    <row r="87" ht="42" customHeight="1">
      <c r="A87" s="18" t="inlineStr">
        <is>
          <t>DoD-04</t>
        </is>
      </c>
      <c r="B87" s="18" t="inlineStr">
        <is>
          <t>Operations</t>
        </is>
      </c>
      <c r="C87" s="18" t="inlineStr">
        <is>
          <t>Dashboard/alert/runbook/owner hoạt động; restore/rollback path được drill nếu hạng mục có impact.</t>
        </is>
      </c>
    </row>
    <row r="88" ht="42" customHeight="1">
      <c r="A88" s="19" t="inlineStr">
        <is>
          <t>DoD-05</t>
        </is>
      </c>
      <c r="B88" s="19" t="inlineStr">
        <is>
          <t>Trust</t>
        </is>
      </c>
      <c r="C88" s="19" t="inlineStr">
        <is>
          <t>Privacy, least privilege, audit, license/provenance và player communication được review khi áp dụng.</t>
        </is>
      </c>
    </row>
    <row r="89" ht="42" customHeight="1">
      <c r="A89" s="18" t="inlineStr">
        <is>
          <t>DoD-06</t>
        </is>
      </c>
      <c r="B89" s="18" t="inlineStr">
        <is>
          <t>Sign-off</t>
        </is>
      </c>
      <c r="C89" s="18" t="inlineStr">
        <is>
          <t>0 P0/P1 mở không waiver; approver ký và mọi [ĐIỀN] bắt buộc có quyết định.</t>
        </is>
      </c>
    </row>
  </sheetData>
  <autoFilter ref="A6:M50"/>
  <mergeCells count="9">
    <mergeCell ref="A1:M1"/>
    <mergeCell ref="B3:M3"/>
    <mergeCell ref="B5:M5"/>
    <mergeCell ref="A61:M61"/>
    <mergeCell ref="A53:M53"/>
    <mergeCell ref="B4:M4"/>
    <mergeCell ref="A2:M2"/>
    <mergeCell ref="A82:M82"/>
    <mergeCell ref="A71:M71"/>
  </mergeCells>
  <conditionalFormatting sqref="A7:M50">
    <cfRule type="expression" priority="1" dxfId="0">
      <formula>$J7="Hoàn thành"</formula>
    </cfRule>
    <cfRule type="expression" priority="2" dxfId="1">
      <formula>$J7="Bị chặn"</formula>
    </cfRule>
  </conditionalFormatting>
  <dataValidations count="4">
    <dataValidation sqref="J7:J50" showDropDown="0" showInputMessage="0" showErrorMessage="0" allowBlank="0" type="list">
      <formula1>"Chưa làm,Đang thiết kế,Sẵn sàng,Đang làm,Đang kiểm thử,Bị chặn,Hoàn thành,Hủy"</formula1>
    </dataValidation>
    <dataValidation sqref="G7:G50" showDropDown="0" showInputMessage="0" showErrorMessage="0" allowBlank="0" type="list">
      <formula1>"P0,P1,P2,P3"</formula1>
    </dataValidation>
    <dataValidation sqref="H7:H50" showDropDown="0" showInputMessage="0" showErrorMessage="0" allowBlank="0" type="list">
      <formula1>"XS,S,M,L,XL"</formula1>
    </dataValidation>
    <dataValidation sqref="K7:K50" showDropDown="0" showInputMessage="0" showErrorMessage="0" allowBlank="0" type="whole" operator="between">
      <formula1>0</formula1>
      <formula2>100</formula2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PHASE 4 | PRODUCTION READINESS DASHBOARD</t>
        </is>
      </c>
    </row>
    <row r="2">
      <c r="A2" s="20" t="inlineStr">
        <is>
          <t>Chỉ số</t>
        </is>
      </c>
      <c r="B2" s="20" t="inlineStr">
        <is>
          <t>Giá trị</t>
        </is>
      </c>
      <c r="C2" s="20" t="n"/>
      <c r="D2" s="20" t="n"/>
      <c r="E2" s="20" t="n"/>
      <c r="F2" s="20" t="n"/>
    </row>
    <row r="3">
      <c r="A3" s="21" t="inlineStr">
        <is>
          <t>Tổng hạng mục</t>
        </is>
      </c>
      <c r="B3" s="22">
        <f>COUNTA('Phase 4 - Production'!$A$7:$A$50)</f>
        <v/>
      </c>
    </row>
    <row r="4">
      <c r="A4" s="23" t="inlineStr">
        <is>
          <t>Đã hoàn thành</t>
        </is>
      </c>
      <c r="B4" s="24">
        <f>COUNTIF('Phase 4 - Production'!$J$7:$J$50,"Hoàn thành")</f>
        <v/>
      </c>
    </row>
    <row r="5">
      <c r="A5" s="21" t="inlineStr">
        <is>
          <t>Release blocker P0</t>
        </is>
      </c>
      <c r="B5" s="22">
        <f>COUNTIF('Phase 4 - Production'!$G$7:$G$50,"P0")</f>
        <v/>
      </c>
    </row>
    <row r="6">
      <c r="A6" s="23" t="inlineStr">
        <is>
          <t>P0 đã hoàn thành</t>
        </is>
      </c>
      <c r="B6" s="24">
        <f>COUNTIFS('Phase 4 - Production'!$G$7:$G$50,"P0",'Phase 4 - Production'!$J$7:$J$50,"Hoàn thành")</f>
        <v/>
      </c>
    </row>
    <row r="7">
      <c r="A7" s="21" t="inlineStr">
        <is>
          <t>P0 còn mở</t>
        </is>
      </c>
      <c r="B7" s="22">
        <f>B5-B6</f>
        <v/>
      </c>
    </row>
    <row r="8">
      <c r="A8" s="23" t="inlineStr">
        <is>
          <t>Tiến độ trung bình</t>
        </is>
      </c>
      <c r="B8" s="25">
        <f>AVERAGE('Phase 4 - Production'!$K$7:$K$50)/100</f>
        <v/>
      </c>
    </row>
    <row r="9">
      <c r="A9" s="21" t="inlineStr">
        <is>
          <t>Go/No-Go</t>
        </is>
      </c>
      <c r="B9" s="22">
        <f>IF(B7=0,"GO - chờ sign-off","NO-GO")</f>
        <v/>
      </c>
    </row>
    <row r="12">
      <c r="A12" s="26" t="inlineStr">
        <is>
          <t>Công thức dashboard lấy trực tiếp từ backlog. GO chỉ có nghĩa P0 đã hoàn thành; final sign-off và các quyết định [ĐIỀN] vẫn bắt buộc.</t>
        </is>
      </c>
    </row>
    <row r="13"/>
  </sheetData>
  <mergeCells count="2">
    <mergeCell ref="A12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2026-08-13T19:26:58Z</dcterms:created>
  <dcterms:modified xsi:type="dcterms:W3CDTF">2026-08-13T19:26:58Z</dcterms:modified>
</cp:coreProperties>
</file>